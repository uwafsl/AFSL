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Objects="none" filterPrivacy="1" codeName="ThisWorkbook" autoCompressPictures="0" defaultThemeVersion="124226"/>
  <bookViews>
    <workbookView xWindow="240" yWindow="105" windowWidth="14805" windowHeight="8025" activeTab="1"/>
  </bookViews>
  <sheets>
    <sheet name="Template" sheetId="7" r:id="rId1"/>
    <sheet name="Summary" sheetId="1" r:id="rId2"/>
    <sheet name="Sheet3" sheetId="8" r:id="rId3"/>
  </sheets>
  <definedNames>
    <definedName name="_xlnm._FilterDatabase" localSheetId="2" hidden="1">Sheet3!$A$1:$B$187</definedName>
  </definedNames>
  <calcPr calcId="152511" iterate="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H1" i="8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</calcChain>
</file>

<file path=xl/sharedStrings.xml><?xml version="1.0" encoding="utf-8"?>
<sst xmlns="http://schemas.openxmlformats.org/spreadsheetml/2006/main" count="395" uniqueCount="208">
  <si>
    <t>Date</t>
  </si>
  <si>
    <t>Comment</t>
  </si>
  <si>
    <t>Notes</t>
  </si>
  <si>
    <t>Summary Page</t>
  </si>
  <si>
    <t>To make a new Flight:</t>
  </si>
  <si>
    <t>1) Under "HOME" go to "Format"</t>
  </si>
  <si>
    <r>
      <t>2) "Format" -&gt; "Organize Sheets" -&gt; "</t>
    </r>
    <r>
      <rPr>
        <u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>ove or Copy Sheets… "-&gt;</t>
    </r>
  </si>
  <si>
    <r>
      <t xml:space="preserve">3) In the "Move or Copy Sheets…" window choose this </t>
    </r>
    <r>
      <rPr>
        <b/>
        <sz val="11"/>
        <color theme="1"/>
        <rFont val="Calibri"/>
        <family val="2"/>
        <scheme val="minor"/>
      </rPr>
      <t>TEMPLATE</t>
    </r>
    <r>
      <rPr>
        <sz val="11"/>
        <color theme="1"/>
        <rFont val="Calibri"/>
        <family val="2"/>
        <scheme val="minor"/>
      </rPr>
      <t xml:space="preserve"> and check the "Create a Copy" box</t>
    </r>
  </si>
  <si>
    <r>
      <t xml:space="preserve">4) Rename the </t>
    </r>
    <r>
      <rPr>
        <b/>
        <sz val="11"/>
        <color theme="1"/>
        <rFont val="Calibri"/>
        <family val="2"/>
        <scheme val="minor"/>
      </rPr>
      <t>TEMPLATE(2)</t>
    </r>
    <r>
      <rPr>
        <sz val="11"/>
        <color theme="1"/>
        <rFont val="Calibri"/>
        <family val="2"/>
        <scheme val="minor"/>
      </rPr>
      <t xml:space="preserve"> to the new Flight#</t>
    </r>
  </si>
  <si>
    <t>5) Update the Summary Page for ArduPlane, Parameter Version, and Operator in Command</t>
  </si>
  <si>
    <t>6) Start recording :D</t>
  </si>
  <si>
    <t>7) At the end of the flight, make sure to update the Summary page for the flight comments and number of minutes in air</t>
  </si>
  <si>
    <t>Timestamp Auto</t>
  </si>
  <si>
    <t>Create a New Sprint!</t>
  </si>
  <si>
    <t>Sprint</t>
  </si>
  <si>
    <t>Matlab Version</t>
  </si>
  <si>
    <t>Operator</t>
  </si>
  <si>
    <t>LabMemberActive?</t>
  </si>
  <si>
    <t>MemberName</t>
  </si>
  <si>
    <t>Aaron Goldfogel</t>
  </si>
  <si>
    <t>Aaron Su</t>
  </si>
  <si>
    <t>Abijit (BJ) Arun</t>
  </si>
  <si>
    <t>Aditya Sharma</t>
  </si>
  <si>
    <t>Adrien Simkins</t>
  </si>
  <si>
    <t>Al Creigh</t>
  </si>
  <si>
    <t>Alec Bueing</t>
  </si>
  <si>
    <t>Alex Summers</t>
  </si>
  <si>
    <t>Andrew Jacobson</t>
  </si>
  <si>
    <t>Andrew Park</t>
  </si>
  <si>
    <t>Anupam Gupta</t>
  </si>
  <si>
    <t>Arwa Sait</t>
  </si>
  <si>
    <t>Bao Le</t>
  </si>
  <si>
    <t>Benjamin Pennant</t>
  </si>
  <si>
    <t>Bing Hu</t>
  </si>
  <si>
    <t>Brett Myers</t>
  </si>
  <si>
    <t>Brian Carpenter</t>
  </si>
  <si>
    <t>Brian Chang</t>
  </si>
  <si>
    <t>Bryan Ghahremani</t>
  </si>
  <si>
    <t>Carter Beamish</t>
  </si>
  <si>
    <t>Charlie Shaw-Feather</t>
  </si>
  <si>
    <t>Christopher Lum</t>
  </si>
  <si>
    <t>Chris Nee</t>
  </si>
  <si>
    <t>Shida Xu</t>
  </si>
  <si>
    <t>Conor Reiland</t>
  </si>
  <si>
    <t>Cory Hage</t>
  </si>
  <si>
    <t>Courtney Yeager</t>
  </si>
  <si>
    <t>Dai Tsukada</t>
  </si>
  <si>
    <t>Dana Fraij</t>
  </si>
  <si>
    <t>Daniel Ablog</t>
  </si>
  <si>
    <t>Daniel Arzouman</t>
  </si>
  <si>
    <t>Daniel Lee</t>
  </si>
  <si>
    <t>Daniel Matthew</t>
  </si>
  <si>
    <t>Daniel Zhu</t>
  </si>
  <si>
    <t>David Hummer</t>
  </si>
  <si>
    <t>Duc(Scott) Hoang</t>
  </si>
  <si>
    <t>Emil Caga-anan</t>
  </si>
  <si>
    <t>En Yen Justin Chu</t>
  </si>
  <si>
    <t>Eric Page</t>
  </si>
  <si>
    <t>Erin Arthur</t>
  </si>
  <si>
    <t>Eze Klarnet</t>
  </si>
  <si>
    <t>Federico Alvarez</t>
  </si>
  <si>
    <t>Gage Winde</t>
  </si>
  <si>
    <t>Ge Bao</t>
  </si>
  <si>
    <t>Gizelle Gando</t>
  </si>
  <si>
    <t>Connor Kafka</t>
  </si>
  <si>
    <t>Henry Qin</t>
  </si>
  <si>
    <t>James Kurniawan</t>
  </si>
  <si>
    <t>Jason Borgida</t>
  </si>
  <si>
    <t>Jason Hung</t>
  </si>
  <si>
    <t>Jenny Garner</t>
  </si>
  <si>
    <t>Justin Yantus</t>
  </si>
  <si>
    <t>Zach Williams</t>
  </si>
  <si>
    <t>Keisuke Tsujita</t>
  </si>
  <si>
    <t>Kelsey Gabel</t>
  </si>
  <si>
    <t>Kevin Ueunten</t>
  </si>
  <si>
    <t>Kibaek Jeong</t>
  </si>
  <si>
    <t>Lien Chang</t>
  </si>
  <si>
    <t>Madison Mackenzie</t>
  </si>
  <si>
    <t>Madt Peck</t>
  </si>
  <si>
    <t>Maius Wong</t>
  </si>
  <si>
    <t>Marissa Reid</t>
  </si>
  <si>
    <t>Matt Bolte</t>
  </si>
  <si>
    <t>Matt Jones</t>
  </si>
  <si>
    <t>Matthew Davis</t>
  </si>
  <si>
    <t>Matthew Dunbabin</t>
  </si>
  <si>
    <t>Max McDonald</t>
  </si>
  <si>
    <t>Maxine Tan</t>
  </si>
  <si>
    <t>Melanie Clark</t>
  </si>
  <si>
    <t>Michael Brady</t>
  </si>
  <si>
    <t>Nathan Isaman</t>
  </si>
  <si>
    <t>Selina Lui</t>
  </si>
  <si>
    <t>Nick Anderson</t>
  </si>
  <si>
    <t>Hannah Rotta</t>
  </si>
  <si>
    <t>Noel Kimber</t>
  </si>
  <si>
    <t>Pico Premvuti</t>
  </si>
  <si>
    <t>Qingqian Li</t>
  </si>
  <si>
    <t>Randy Lirano</t>
  </si>
  <si>
    <t>Richard Fukutome</t>
  </si>
  <si>
    <t>Ryan Grimes</t>
  </si>
  <si>
    <t>Robert Larson</t>
  </si>
  <si>
    <t>Robert McSwain</t>
  </si>
  <si>
    <t>Rohtash Mann</t>
  </si>
  <si>
    <t>Karine Chen</t>
  </si>
  <si>
    <t>Ryan Valach</t>
  </si>
  <si>
    <t>Sam Buxton</t>
  </si>
  <si>
    <t>Sanjit Samra</t>
  </si>
  <si>
    <t>Seung Hwan (Scott) An</t>
  </si>
  <si>
    <t>Nikita Filippov</t>
  </si>
  <si>
    <t>Seunghyun Ko</t>
  </si>
  <si>
    <t>Nicholas Price</t>
  </si>
  <si>
    <t>Shumin Lin</t>
  </si>
  <si>
    <t>Simeng Zhu</t>
  </si>
  <si>
    <t>Taehan Kook</t>
  </si>
  <si>
    <t>Taras Eremenko</t>
  </si>
  <si>
    <t>Tim Sundine</t>
  </si>
  <si>
    <t>Truc (Jo) Hoa</t>
  </si>
  <si>
    <t>Tyler Sheehan</t>
  </si>
  <si>
    <t>Vitor Meneses de Vasconcelos</t>
  </si>
  <si>
    <t>Ward Handley</t>
  </si>
  <si>
    <t>Yifu Wang</t>
  </si>
  <si>
    <t>Yuxing(Tommy) Zhou</t>
  </si>
  <si>
    <t>Zach Caratao</t>
  </si>
  <si>
    <t>Helen Kuni</t>
  </si>
  <si>
    <t>Zhenzhen Su</t>
  </si>
  <si>
    <t>Sicong Huang</t>
  </si>
  <si>
    <t>Lanhao Wu</t>
  </si>
  <si>
    <t>Carter Kraus</t>
  </si>
  <si>
    <t>Ken Sekine</t>
  </si>
  <si>
    <t>Nicolas Miguel</t>
  </si>
  <si>
    <t>Gavin Cai</t>
  </si>
  <si>
    <t>Keegan McGrath</t>
  </si>
  <si>
    <t>Richard Jiang</t>
  </si>
  <si>
    <t>Tinnabhand Patana-anake</t>
  </si>
  <si>
    <t>Ravi Patel</t>
  </si>
  <si>
    <t>Mircea Cozmei</t>
  </si>
  <si>
    <t>Matthew Lee</t>
  </si>
  <si>
    <t>Forrest Malcolm</t>
  </si>
  <si>
    <t>Jason Yarrow</t>
  </si>
  <si>
    <t>Nicholas Armstrong</t>
  </si>
  <si>
    <t>Eric Wang</t>
  </si>
  <si>
    <t>Alex Lange</t>
  </si>
  <si>
    <t>David Kim</t>
  </si>
  <si>
    <t>Chung Hoon Choi</t>
  </si>
  <si>
    <t>Saiprasanna Ranganathan</t>
  </si>
  <si>
    <t>Dylan Hoff</t>
  </si>
  <si>
    <t>Sid Raman</t>
  </si>
  <si>
    <t>Griffin Klett</t>
  </si>
  <si>
    <t>Sita Manne</t>
  </si>
  <si>
    <t>Bryson Bruno</t>
  </si>
  <si>
    <t>Mike Kurnia</t>
  </si>
  <si>
    <t>Riley Turk</t>
  </si>
  <si>
    <t>Rick Huang</t>
  </si>
  <si>
    <t>Caelen Wang</t>
  </si>
  <si>
    <t>Vivian Hua</t>
  </si>
  <si>
    <t>Blake Fletcher</t>
  </si>
  <si>
    <t>Varith Hong</t>
  </si>
  <si>
    <t>Orion Black-Brown</t>
  </si>
  <si>
    <t>Travis Clement</t>
  </si>
  <si>
    <t>Tushar Lakhanpal</t>
  </si>
  <si>
    <t>Jacob Longhurst</t>
  </si>
  <si>
    <t>Grant Bringham</t>
  </si>
  <si>
    <t>Tao Jin</t>
  </si>
  <si>
    <t>Yao Dou</t>
  </si>
  <si>
    <t>Joshua Brockschmidt</t>
  </si>
  <si>
    <t>Alex Banh</t>
  </si>
  <si>
    <t>Deepanshu Gupta</t>
  </si>
  <si>
    <t>Firn Tieanklin</t>
  </si>
  <si>
    <t>Jaspreet Sidhu</t>
  </si>
  <si>
    <t>Mason Guiste</t>
  </si>
  <si>
    <t>Alex Bernard</t>
  </si>
  <si>
    <t>Gabi Sciuchetti</t>
  </si>
  <si>
    <t>Bohao Zhu</t>
  </si>
  <si>
    <t>Ang Samden Sherpa</t>
  </si>
  <si>
    <t>Laura Smit</t>
  </si>
  <si>
    <t>Rostyslav Svitelskyi</t>
  </si>
  <si>
    <t>Zachary Rotter</t>
  </si>
  <si>
    <t>Shaunak Pandit</t>
  </si>
  <si>
    <t>Kelly Lee</t>
  </si>
  <si>
    <t>Wenfu (Norman) Lei</t>
  </si>
  <si>
    <t>Asia Morris</t>
  </si>
  <si>
    <t>Nick Kano</t>
  </si>
  <si>
    <t>Chris Luche</t>
  </si>
  <si>
    <t>Riley Harris</t>
  </si>
  <si>
    <t>Ben Rizzardi</t>
  </si>
  <si>
    <t>Cory Cantey</t>
  </si>
  <si>
    <t>Julianna Bethune</t>
  </si>
  <si>
    <t>Kirby Taylor</t>
  </si>
  <si>
    <t>Veen Oung</t>
  </si>
  <si>
    <t>Aaron Misola</t>
  </si>
  <si>
    <t>Andrew Quam</t>
  </si>
  <si>
    <t>Jordan Wagner</t>
  </si>
  <si>
    <t>Joseph DePalma</t>
  </si>
  <si>
    <t>Frederick Austin</t>
  </si>
  <si>
    <t>Chris Lynch</t>
  </si>
  <si>
    <t>Jordan Sims</t>
  </si>
  <si>
    <t>DB Nguyen</t>
  </si>
  <si>
    <t>Boda Li</t>
  </si>
  <si>
    <t>Sarah Chu</t>
  </si>
  <si>
    <t>Stephanie Huerta-Ramirez</t>
  </si>
  <si>
    <t>Reuel Abad</t>
  </si>
  <si>
    <t>Valdi Widanta</t>
  </si>
  <si>
    <t>Gerald Collom</t>
  </si>
  <si>
    <t>Wendy Liu</t>
  </si>
  <si>
    <t>Annyn Howle</t>
  </si>
  <si>
    <t>Active_</t>
  </si>
  <si>
    <t>no</t>
  </si>
  <si>
    <t>yes</t>
  </si>
  <si>
    <t>R2016b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</si>
</sst>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;@"/>
    <numFmt numFmtId="165" formatCode="[$-409]h:mm:ss\ AM/P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/>
    <xf numFmtId="164" fontId="0" fillId="0" borderId="0" xfId="0" applyNumberForma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2" fillId="2" borderId="0" xfId="1" applyFill="1"/>
    <xf numFmtId="0" fontId="3" fillId="0" borderId="0" xfId="0" applyFont="1"/>
    <xf numFmtId="165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1"/>
  <sheetViews>
    <sheetView workbookViewId="0">
      <selection activeCell="I1" sqref="I1"/>
    </sheetView>
  </sheetViews>
  <sheetFormatPr defaultColWidth="11.42578125" defaultRowHeight="15" x14ac:dyDescent="0.25"/>
  <cols>
    <col min="1" max="1" width="16.42578125" style="8" customWidth="1"/>
  </cols>
  <sheetData>
    <row r="1" spans="1:9" x14ac:dyDescent="0.25">
      <c r="A1" s="7" t="s">
        <v>12</v>
      </c>
      <c r="B1" s="1" t="s">
        <v>2</v>
      </c>
      <c r="I1" s="5" t="s">
        <v>3</v>
      </c>
    </row>
    <row r="2" spans="1:9" x14ac:dyDescent="0.25">
      <c r="A2" s="8" t="str">
        <f t="shared" ref="A2:A41" ca="1" si="0">IF(B2&lt;&gt;"",IF(A2="",NOW(),A2),"")</f>
        <v/>
      </c>
    </row>
    <row r="3" spans="1:9" x14ac:dyDescent="0.25">
      <c r="A3" s="8" t="str">
        <f t="shared" ca="1" si="0"/>
        <v/>
      </c>
      <c r="I3" s="6" t="s">
        <v>4</v>
      </c>
    </row>
    <row r="4" spans="1:9" x14ac:dyDescent="0.25">
      <c r="A4" s="8" t="str">
        <f t="shared" ca="1" si="0"/>
        <v/>
      </c>
      <c r="I4" t="s">
        <v>5</v>
      </c>
    </row>
    <row r="5" spans="1:9" x14ac:dyDescent="0.25">
      <c r="A5" s="8" t="str">
        <f t="shared" ca="1" si="0"/>
        <v/>
      </c>
      <c r="I5" t="s">
        <v>6</v>
      </c>
    </row>
    <row r="6" spans="1:9" x14ac:dyDescent="0.25">
      <c r="A6" s="8" t="str">
        <f t="shared" ca="1" si="0"/>
        <v/>
      </c>
      <c r="I6" t="s">
        <v>7</v>
      </c>
    </row>
    <row r="7" spans="1:9" x14ac:dyDescent="0.25">
      <c r="A7" s="8" t="str">
        <f t="shared" ca="1" si="0"/>
        <v/>
      </c>
      <c r="I7" t="s">
        <v>8</v>
      </c>
    </row>
    <row r="8" spans="1:9" x14ac:dyDescent="0.25">
      <c r="A8" s="8" t="str">
        <f t="shared" ca="1" si="0"/>
        <v/>
      </c>
      <c r="I8" t="s">
        <v>9</v>
      </c>
    </row>
    <row r="9" spans="1:9" x14ac:dyDescent="0.25">
      <c r="A9" s="8" t="str">
        <f t="shared" ca="1" si="0"/>
        <v/>
      </c>
      <c r="I9" t="s">
        <v>10</v>
      </c>
    </row>
    <row r="10" spans="1:9" x14ac:dyDescent="0.25">
      <c r="A10" s="8" t="str">
        <f t="shared" ca="1" si="0"/>
        <v/>
      </c>
      <c r="I10" t="s">
        <v>11</v>
      </c>
    </row>
    <row r="11" spans="1:9" x14ac:dyDescent="0.25">
      <c r="A11" s="8" t="str">
        <f t="shared" ca="1" si="0"/>
        <v/>
      </c>
    </row>
    <row r="12" spans="1:9" x14ac:dyDescent="0.25">
      <c r="A12" s="8" t="str">
        <f t="shared" ca="1" si="0"/>
        <v/>
      </c>
    </row>
    <row r="13" spans="1:9" x14ac:dyDescent="0.25">
      <c r="A13" s="8" t="str">
        <f t="shared" ca="1" si="0"/>
        <v/>
      </c>
    </row>
    <row r="14" spans="1:9" x14ac:dyDescent="0.25">
      <c r="A14" s="8" t="str">
        <f t="shared" ca="1" si="0"/>
        <v/>
      </c>
    </row>
    <row r="15" spans="1:9" x14ac:dyDescent="0.25">
      <c r="A15" s="8" t="str">
        <f t="shared" ca="1" si="0"/>
        <v/>
      </c>
    </row>
    <row r="16" spans="1:9" x14ac:dyDescent="0.25">
      <c r="A16" s="8" t="str">
        <f t="shared" ca="1" si="0"/>
        <v/>
      </c>
    </row>
    <row r="17" spans="1:1" x14ac:dyDescent="0.25">
      <c r="A17" s="8" t="str">
        <f t="shared" ca="1" si="0"/>
        <v/>
      </c>
    </row>
    <row r="18" spans="1:1" x14ac:dyDescent="0.25">
      <c r="A18" s="8" t="str">
        <f t="shared" ca="1" si="0"/>
        <v/>
      </c>
    </row>
    <row r="19" spans="1:1" x14ac:dyDescent="0.25">
      <c r="A19" s="8" t="str">
        <f t="shared" ca="1" si="0"/>
        <v/>
      </c>
    </row>
    <row r="20" spans="1:1" x14ac:dyDescent="0.25">
      <c r="A20" s="8" t="str">
        <f t="shared" ca="1" si="0"/>
        <v/>
      </c>
    </row>
    <row r="21" spans="1:1" x14ac:dyDescent="0.25">
      <c r="A21" s="8" t="str">
        <f t="shared" ca="1" si="0"/>
        <v/>
      </c>
    </row>
    <row r="22" spans="1:1" x14ac:dyDescent="0.25">
      <c r="A22" s="8" t="str">
        <f t="shared" ca="1" si="0"/>
        <v/>
      </c>
    </row>
    <row r="23" spans="1:1" x14ac:dyDescent="0.25">
      <c r="A23" s="8" t="str">
        <f t="shared" ca="1" si="0"/>
        <v/>
      </c>
    </row>
    <row r="24" spans="1:1" x14ac:dyDescent="0.25">
      <c r="A24" s="8" t="str">
        <f t="shared" ca="1" si="0"/>
        <v/>
      </c>
    </row>
    <row r="25" spans="1:1" x14ac:dyDescent="0.25">
      <c r="A25" s="8" t="str">
        <f t="shared" ca="1" si="0"/>
        <v/>
      </c>
    </row>
    <row r="26" spans="1:1" x14ac:dyDescent="0.25">
      <c r="A26" s="8" t="str">
        <f t="shared" ca="1" si="0"/>
        <v/>
      </c>
    </row>
    <row r="27" spans="1:1" x14ac:dyDescent="0.25">
      <c r="A27" s="8" t="str">
        <f t="shared" ca="1" si="0"/>
        <v/>
      </c>
    </row>
    <row r="28" spans="1:1" x14ac:dyDescent="0.25">
      <c r="A28" s="8" t="str">
        <f t="shared" ca="1" si="0"/>
        <v/>
      </c>
    </row>
    <row r="29" spans="1:1" x14ac:dyDescent="0.25">
      <c r="A29" s="8" t="str">
        <f t="shared" ca="1" si="0"/>
        <v/>
      </c>
    </row>
    <row r="30" spans="1:1" x14ac:dyDescent="0.25">
      <c r="A30" s="8" t="str">
        <f t="shared" ca="1" si="0"/>
        <v/>
      </c>
    </row>
    <row r="31" spans="1:1" x14ac:dyDescent="0.25">
      <c r="A31" s="8" t="str">
        <f t="shared" ca="1" si="0"/>
        <v/>
      </c>
    </row>
    <row r="32" spans="1:1" x14ac:dyDescent="0.25">
      <c r="A32" s="8" t="str">
        <f t="shared" ca="1" si="0"/>
        <v/>
      </c>
    </row>
    <row r="33" spans="1:1" x14ac:dyDescent="0.25">
      <c r="A33" s="8" t="str">
        <f t="shared" ca="1" si="0"/>
        <v/>
      </c>
    </row>
    <row r="34" spans="1:1" x14ac:dyDescent="0.25">
      <c r="A34" s="8" t="str">
        <f t="shared" ca="1" si="0"/>
        <v/>
      </c>
    </row>
    <row r="35" spans="1:1" x14ac:dyDescent="0.25">
      <c r="A35" s="8" t="str">
        <f t="shared" ca="1" si="0"/>
        <v/>
      </c>
    </row>
    <row r="36" spans="1:1" x14ac:dyDescent="0.25">
      <c r="A36" s="8" t="str">
        <f t="shared" ca="1" si="0"/>
        <v/>
      </c>
    </row>
    <row r="37" spans="1:1" x14ac:dyDescent="0.25">
      <c r="A37" s="8" t="str">
        <f t="shared" ca="1" si="0"/>
        <v/>
      </c>
    </row>
    <row r="38" spans="1:1" x14ac:dyDescent="0.25">
      <c r="A38" s="8" t="str">
        <f t="shared" ca="1" si="0"/>
        <v/>
      </c>
    </row>
    <row r="39" spans="1:1" x14ac:dyDescent="0.25">
      <c r="A39" s="8" t="str">
        <f t="shared" ca="1" si="0"/>
        <v/>
      </c>
    </row>
    <row r="40" spans="1:1" x14ac:dyDescent="0.25">
      <c r="A40" s="8" t="str">
        <f t="shared" ca="1" si="0"/>
        <v/>
      </c>
    </row>
    <row r="41" spans="1:1" x14ac:dyDescent="0.25">
      <c r="A41" s="8" t="str">
        <f t="shared" ca="1" si="0"/>
        <v/>
      </c>
    </row>
  </sheetData>
  <hyperlinks>
    <hyperlink ref="I1" location="Summary!A1" display="Summary Page"/>
  </hyperlink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"/>
  <sheetViews>
    <sheetView tabSelected="1" workbookViewId="0">
      <pane ySplit="2" topLeftCell="A3" activePane="bottomLeft" state="frozen"/>
      <selection pane="bottomLeft" activeCell="D4" sqref="D4"/>
    </sheetView>
  </sheetViews>
  <sheetFormatPr defaultColWidth="8.85546875" defaultRowHeight="15" x14ac:dyDescent="0.25"/>
  <cols>
    <col min="1" max="1" width="10.42578125" bestFit="1" customWidth="1"/>
    <col min="2" max="2" width="10.42578125" style="2" bestFit="1" customWidth="1"/>
    <col min="3" max="3" width="12" style="9" customWidth="1"/>
    <col min="4" max="4" width="12.85546875" customWidth="1"/>
    <col min="5" max="5" width="20.85546875" bestFit="1" customWidth="1"/>
    <col min="6" max="6" width="10.28515625" customWidth="1"/>
  </cols>
  <sheetData>
    <row r="1" spans="1:7" x14ac:dyDescent="0.25">
      <c r="A1" t="s">
        <v>17</v>
      </c>
      <c r="B1"/>
      <c r="E1" s="5" t="s">
        <v>13</v>
      </c>
      <c r="G1" s="5" t="s">
        <v>3</v>
      </c>
    </row>
    <row r="2" spans="1:7" s="4" customFormat="1" ht="29.25" customHeight="1" x14ac:dyDescent="0.25">
      <c r="A2" s="3" t="s">
        <v>14</v>
      </c>
      <c r="B2" s="3" t="s">
        <v>0</v>
      </c>
      <c r="C2" s="3" t="s">
        <v>15</v>
      </c>
      <c r="D2" s="3" t="s">
        <v>16</v>
      </c>
      <c r="E2" s="3" t="s">
        <v>1</v>
      </c>
    </row>
    <row r="3" spans="1:7" x14ac:dyDescent="0.25">
      <c r="A3" s="10" t="str">
        <f>HYPERLINK("#'Sheet3'!A1","1807")</f>
        <v>1807</v>
      </c>
      <c r="B3" s="2">
        <v>43320</v>
      </c>
      <c r="C3" s="9" t="s">
        <v>207</v>
      </c>
      <c r="D3" t="s">
        <v>122</v>
      </c>
    </row>
  </sheetData>
  <hyperlinks>
    <hyperlink ref="E1" location="TEMPLATE!A1" display="Create a New Flight!"/>
    <hyperlink ref="G1" location="Summary!A1" display="Summary Page"/>
  </hyperlink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H187"/>
  <sheetViews>
    <sheetView workbookViewId="0">
      <selection activeCell="A187" sqref="A187"/>
    </sheetView>
  </sheetViews>
  <sheetFormatPr defaultRowHeight="15" x14ac:dyDescent="0.25"/>
  <cols>
    <col min="1" max="1" width="28.42578125" bestFit="1" customWidth="1"/>
    <col min="2" max="2" width="7.5703125" bestFit="1" customWidth="1"/>
  </cols>
  <sheetData>
    <row r="1" spans="1:8" x14ac:dyDescent="0.25">
      <c r="A1" t="s">
        <v>18</v>
      </c>
      <c r="B1" t="s">
        <v>204</v>
      </c>
      <c r="H1" s="10" t="str">
        <f>HYPERLINK("#'Summary'!A1","Summary Page")</f>
        <v>Summary Page</v>
      </c>
    </row>
    <row r="2" spans="1:8" hidden="1" x14ac:dyDescent="0.25">
      <c r="A2" t="s">
        <v>19</v>
      </c>
      <c r="B2" t="s">
        <v>205</v>
      </c>
    </row>
    <row r="3" spans="1:8" hidden="1" x14ac:dyDescent="0.25">
      <c r="A3" t="s">
        <v>20</v>
      </c>
      <c r="B3" t="s">
        <v>205</v>
      </c>
    </row>
    <row r="4" spans="1:8" hidden="1" x14ac:dyDescent="0.25">
      <c r="A4" t="s">
        <v>21</v>
      </c>
      <c r="B4" t="s">
        <v>205</v>
      </c>
    </row>
    <row r="5" spans="1:8" hidden="1" x14ac:dyDescent="0.25">
      <c r="A5" t="s">
        <v>22</v>
      </c>
      <c r="B5" t="s">
        <v>205</v>
      </c>
    </row>
    <row r="6" spans="1:8" hidden="1" x14ac:dyDescent="0.25">
      <c r="A6" t="s">
        <v>23</v>
      </c>
      <c r="B6" t="s">
        <v>205</v>
      </c>
    </row>
    <row r="7" spans="1:8" hidden="1" x14ac:dyDescent="0.25">
      <c r="A7" t="s">
        <v>24</v>
      </c>
      <c r="B7" t="s">
        <v>205</v>
      </c>
    </row>
    <row r="8" spans="1:8" hidden="1" x14ac:dyDescent="0.25">
      <c r="A8" t="s">
        <v>25</v>
      </c>
      <c r="B8" t="s">
        <v>205</v>
      </c>
    </row>
    <row r="9" spans="1:8" hidden="1" x14ac:dyDescent="0.25">
      <c r="A9" t="s">
        <v>26</v>
      </c>
      <c r="B9" t="s">
        <v>205</v>
      </c>
    </row>
    <row r="10" spans="1:8" hidden="1" x14ac:dyDescent="0.25">
      <c r="A10" t="s">
        <v>27</v>
      </c>
      <c r="B10" t="s">
        <v>205</v>
      </c>
    </row>
    <row r="11" spans="1:8" hidden="1" x14ac:dyDescent="0.25">
      <c r="A11" t="s">
        <v>28</v>
      </c>
      <c r="B11" t="s">
        <v>205</v>
      </c>
    </row>
    <row r="12" spans="1:8" hidden="1" x14ac:dyDescent="0.25">
      <c r="A12" t="s">
        <v>29</v>
      </c>
      <c r="B12" t="s">
        <v>205</v>
      </c>
    </row>
    <row r="13" spans="1:8" hidden="1" x14ac:dyDescent="0.25">
      <c r="A13" t="s">
        <v>30</v>
      </c>
      <c r="B13" t="s">
        <v>205</v>
      </c>
    </row>
    <row r="14" spans="1:8" hidden="1" x14ac:dyDescent="0.25">
      <c r="A14" t="s">
        <v>31</v>
      </c>
      <c r="B14" t="s">
        <v>205</v>
      </c>
    </row>
    <row r="15" spans="1:8" hidden="1" x14ac:dyDescent="0.25">
      <c r="A15" t="s">
        <v>32</v>
      </c>
      <c r="B15" t="s">
        <v>205</v>
      </c>
    </row>
    <row r="16" spans="1:8" hidden="1" x14ac:dyDescent="0.25">
      <c r="A16" t="s">
        <v>33</v>
      </c>
      <c r="B16" t="s">
        <v>205</v>
      </c>
    </row>
    <row r="17" spans="1:2" hidden="1" x14ac:dyDescent="0.25">
      <c r="A17" t="s">
        <v>34</v>
      </c>
      <c r="B17" t="s">
        <v>205</v>
      </c>
    </row>
    <row r="18" spans="1:2" hidden="1" x14ac:dyDescent="0.25">
      <c r="A18" t="s">
        <v>35</v>
      </c>
      <c r="B18" t="s">
        <v>205</v>
      </c>
    </row>
    <row r="19" spans="1:2" hidden="1" x14ac:dyDescent="0.25">
      <c r="A19" t="s">
        <v>36</v>
      </c>
      <c r="B19" t="s">
        <v>205</v>
      </c>
    </row>
    <row r="20" spans="1:2" hidden="1" x14ac:dyDescent="0.25">
      <c r="A20" t="s">
        <v>37</v>
      </c>
      <c r="B20" t="s">
        <v>205</v>
      </c>
    </row>
    <row r="21" spans="1:2" hidden="1" x14ac:dyDescent="0.25">
      <c r="A21" t="s">
        <v>38</v>
      </c>
      <c r="B21" t="s">
        <v>205</v>
      </c>
    </row>
    <row r="22" spans="1:2" hidden="1" x14ac:dyDescent="0.25">
      <c r="A22" t="s">
        <v>39</v>
      </c>
      <c r="B22" t="s">
        <v>205</v>
      </c>
    </row>
    <row r="23" spans="1:2" x14ac:dyDescent="0.25">
      <c r="A23" t="s">
        <v>40</v>
      </c>
      <c r="B23" t="s">
        <v>206</v>
      </c>
    </row>
    <row r="24" spans="1:2" hidden="1" x14ac:dyDescent="0.25">
      <c r="A24" t="s">
        <v>41</v>
      </c>
      <c r="B24" t="s">
        <v>205</v>
      </c>
    </row>
    <row r="25" spans="1:2" x14ac:dyDescent="0.25">
      <c r="A25" t="s">
        <v>42</v>
      </c>
      <c r="B25" t="s">
        <v>206</v>
      </c>
    </row>
    <row r="26" spans="1:2" hidden="1" x14ac:dyDescent="0.25">
      <c r="A26" t="s">
        <v>43</v>
      </c>
      <c r="B26" t="s">
        <v>205</v>
      </c>
    </row>
    <row r="27" spans="1:2" hidden="1" x14ac:dyDescent="0.25">
      <c r="A27" t="s">
        <v>44</v>
      </c>
      <c r="B27" t="s">
        <v>205</v>
      </c>
    </row>
    <row r="28" spans="1:2" hidden="1" x14ac:dyDescent="0.25">
      <c r="A28" t="s">
        <v>45</v>
      </c>
      <c r="B28" t="s">
        <v>205</v>
      </c>
    </row>
    <row r="29" spans="1:2" hidden="1" x14ac:dyDescent="0.25">
      <c r="A29" t="s">
        <v>46</v>
      </c>
      <c r="B29" t="s">
        <v>205</v>
      </c>
    </row>
    <row r="30" spans="1:2" hidden="1" x14ac:dyDescent="0.25">
      <c r="A30" t="s">
        <v>47</v>
      </c>
      <c r="B30" t="s">
        <v>205</v>
      </c>
    </row>
    <row r="31" spans="1:2" hidden="1" x14ac:dyDescent="0.25">
      <c r="A31" t="s">
        <v>48</v>
      </c>
      <c r="B31" t="s">
        <v>205</v>
      </c>
    </row>
    <row r="32" spans="1:2" hidden="1" x14ac:dyDescent="0.25">
      <c r="A32" t="s">
        <v>49</v>
      </c>
      <c r="B32" t="s">
        <v>205</v>
      </c>
    </row>
    <row r="33" spans="1:2" hidden="1" x14ac:dyDescent="0.25">
      <c r="A33" t="s">
        <v>50</v>
      </c>
      <c r="B33" t="s">
        <v>205</v>
      </c>
    </row>
    <row r="34" spans="1:2" hidden="1" x14ac:dyDescent="0.25">
      <c r="A34" t="s">
        <v>51</v>
      </c>
      <c r="B34" t="s">
        <v>205</v>
      </c>
    </row>
    <row r="35" spans="1:2" hidden="1" x14ac:dyDescent="0.25">
      <c r="A35" t="s">
        <v>52</v>
      </c>
      <c r="B35" t="s">
        <v>205</v>
      </c>
    </row>
    <row r="36" spans="1:2" hidden="1" x14ac:dyDescent="0.25">
      <c r="A36" t="s">
        <v>53</v>
      </c>
      <c r="B36" t="s">
        <v>205</v>
      </c>
    </row>
    <row r="37" spans="1:2" hidden="1" x14ac:dyDescent="0.25">
      <c r="A37" t="s">
        <v>54</v>
      </c>
      <c r="B37" t="s">
        <v>205</v>
      </c>
    </row>
    <row r="38" spans="1:2" hidden="1" x14ac:dyDescent="0.25">
      <c r="A38" t="s">
        <v>55</v>
      </c>
      <c r="B38" t="s">
        <v>205</v>
      </c>
    </row>
    <row r="39" spans="1:2" hidden="1" x14ac:dyDescent="0.25">
      <c r="A39" t="s">
        <v>56</v>
      </c>
      <c r="B39" t="s">
        <v>205</v>
      </c>
    </row>
    <row r="40" spans="1:2" hidden="1" x14ac:dyDescent="0.25">
      <c r="A40" t="s">
        <v>57</v>
      </c>
      <c r="B40" t="s">
        <v>205</v>
      </c>
    </row>
    <row r="41" spans="1:2" x14ac:dyDescent="0.25">
      <c r="A41" t="s">
        <v>58</v>
      </c>
      <c r="B41" t="s">
        <v>206</v>
      </c>
    </row>
    <row r="42" spans="1:2" hidden="1" x14ac:dyDescent="0.25">
      <c r="A42" t="s">
        <v>59</v>
      </c>
      <c r="B42" t="s">
        <v>205</v>
      </c>
    </row>
    <row r="43" spans="1:2" hidden="1" x14ac:dyDescent="0.25">
      <c r="A43" t="s">
        <v>60</v>
      </c>
      <c r="B43" t="s">
        <v>205</v>
      </c>
    </row>
    <row r="44" spans="1:2" hidden="1" x14ac:dyDescent="0.25">
      <c r="A44" t="s">
        <v>61</v>
      </c>
      <c r="B44" t="s">
        <v>205</v>
      </c>
    </row>
    <row r="45" spans="1:2" hidden="1" x14ac:dyDescent="0.25">
      <c r="A45" t="s">
        <v>62</v>
      </c>
      <c r="B45" t="s">
        <v>205</v>
      </c>
    </row>
    <row r="46" spans="1:2" hidden="1" x14ac:dyDescent="0.25">
      <c r="A46" t="s">
        <v>63</v>
      </c>
      <c r="B46" t="s">
        <v>205</v>
      </c>
    </row>
    <row r="47" spans="1:2" hidden="1" x14ac:dyDescent="0.25">
      <c r="A47" t="s">
        <v>64</v>
      </c>
      <c r="B47" t="s">
        <v>205</v>
      </c>
    </row>
    <row r="48" spans="1:2" hidden="1" x14ac:dyDescent="0.25">
      <c r="A48" t="s">
        <v>65</v>
      </c>
      <c r="B48" t="s">
        <v>205</v>
      </c>
    </row>
    <row r="49" spans="1:2" hidden="1" x14ac:dyDescent="0.25">
      <c r="A49" t="s">
        <v>66</v>
      </c>
      <c r="B49" t="s">
        <v>205</v>
      </c>
    </row>
    <row r="50" spans="1:2" hidden="1" x14ac:dyDescent="0.25">
      <c r="A50" t="s">
        <v>67</v>
      </c>
      <c r="B50" t="s">
        <v>205</v>
      </c>
    </row>
    <row r="51" spans="1:2" hidden="1" x14ac:dyDescent="0.25">
      <c r="A51" t="s">
        <v>68</v>
      </c>
      <c r="B51" t="s">
        <v>205</v>
      </c>
    </row>
    <row r="52" spans="1:2" hidden="1" x14ac:dyDescent="0.25">
      <c r="A52" t="s">
        <v>69</v>
      </c>
      <c r="B52" t="s">
        <v>205</v>
      </c>
    </row>
    <row r="53" spans="1:2" hidden="1" x14ac:dyDescent="0.25">
      <c r="A53" t="s">
        <v>70</v>
      </c>
      <c r="B53" t="s">
        <v>205</v>
      </c>
    </row>
    <row r="54" spans="1:2" hidden="1" x14ac:dyDescent="0.25">
      <c r="A54" t="s">
        <v>71</v>
      </c>
      <c r="B54" t="s">
        <v>205</v>
      </c>
    </row>
    <row r="55" spans="1:2" hidden="1" x14ac:dyDescent="0.25">
      <c r="A55" t="s">
        <v>72</v>
      </c>
      <c r="B55" t="s">
        <v>205</v>
      </c>
    </row>
    <row r="56" spans="1:2" hidden="1" x14ac:dyDescent="0.25">
      <c r="A56" t="s">
        <v>73</v>
      </c>
      <c r="B56" t="s">
        <v>205</v>
      </c>
    </row>
    <row r="57" spans="1:2" hidden="1" x14ac:dyDescent="0.25">
      <c r="A57" t="s">
        <v>74</v>
      </c>
      <c r="B57" t="s">
        <v>205</v>
      </c>
    </row>
    <row r="58" spans="1:2" hidden="1" x14ac:dyDescent="0.25">
      <c r="A58" t="s">
        <v>75</v>
      </c>
      <c r="B58" t="s">
        <v>205</v>
      </c>
    </row>
    <row r="59" spans="1:2" hidden="1" x14ac:dyDescent="0.25">
      <c r="A59" t="s">
        <v>76</v>
      </c>
      <c r="B59" t="s">
        <v>205</v>
      </c>
    </row>
    <row r="60" spans="1:2" hidden="1" x14ac:dyDescent="0.25">
      <c r="A60" t="s">
        <v>77</v>
      </c>
      <c r="B60" t="s">
        <v>205</v>
      </c>
    </row>
    <row r="61" spans="1:2" hidden="1" x14ac:dyDescent="0.25">
      <c r="A61" t="s">
        <v>78</v>
      </c>
      <c r="B61" t="s">
        <v>205</v>
      </c>
    </row>
    <row r="62" spans="1:2" hidden="1" x14ac:dyDescent="0.25">
      <c r="A62" t="s">
        <v>79</v>
      </c>
      <c r="B62" t="s">
        <v>205</v>
      </c>
    </row>
    <row r="63" spans="1:2" hidden="1" x14ac:dyDescent="0.25">
      <c r="A63" t="s">
        <v>80</v>
      </c>
      <c r="B63" t="s">
        <v>205</v>
      </c>
    </row>
    <row r="64" spans="1:2" hidden="1" x14ac:dyDescent="0.25">
      <c r="A64" t="s">
        <v>81</v>
      </c>
      <c r="B64" t="s">
        <v>205</v>
      </c>
    </row>
    <row r="65" spans="1:2" hidden="1" x14ac:dyDescent="0.25">
      <c r="A65" t="s">
        <v>82</v>
      </c>
      <c r="B65" t="s">
        <v>205</v>
      </c>
    </row>
    <row r="66" spans="1:2" hidden="1" x14ac:dyDescent="0.25">
      <c r="A66" t="s">
        <v>83</v>
      </c>
      <c r="B66" t="s">
        <v>205</v>
      </c>
    </row>
    <row r="67" spans="1:2" hidden="1" x14ac:dyDescent="0.25">
      <c r="A67" t="s">
        <v>84</v>
      </c>
      <c r="B67" t="s">
        <v>205</v>
      </c>
    </row>
    <row r="68" spans="1:2" hidden="1" x14ac:dyDescent="0.25">
      <c r="A68" t="s">
        <v>85</v>
      </c>
      <c r="B68" t="s">
        <v>205</v>
      </c>
    </row>
    <row r="69" spans="1:2" hidden="1" x14ac:dyDescent="0.25">
      <c r="A69" t="s">
        <v>86</v>
      </c>
      <c r="B69" t="s">
        <v>205</v>
      </c>
    </row>
    <row r="70" spans="1:2" hidden="1" x14ac:dyDescent="0.25">
      <c r="A70" t="s">
        <v>87</v>
      </c>
      <c r="B70" t="s">
        <v>205</v>
      </c>
    </row>
    <row r="71" spans="1:2" hidden="1" x14ac:dyDescent="0.25">
      <c r="A71" t="s">
        <v>88</v>
      </c>
      <c r="B71" t="s">
        <v>205</v>
      </c>
    </row>
    <row r="72" spans="1:2" hidden="1" x14ac:dyDescent="0.25">
      <c r="A72" t="s">
        <v>89</v>
      </c>
      <c r="B72" t="s">
        <v>205</v>
      </c>
    </row>
    <row r="73" spans="1:2" hidden="1" x14ac:dyDescent="0.25">
      <c r="A73" t="s">
        <v>90</v>
      </c>
      <c r="B73" t="s">
        <v>205</v>
      </c>
    </row>
    <row r="74" spans="1:2" hidden="1" x14ac:dyDescent="0.25">
      <c r="A74" t="s">
        <v>91</v>
      </c>
      <c r="B74" t="s">
        <v>205</v>
      </c>
    </row>
    <row r="75" spans="1:2" x14ac:dyDescent="0.25">
      <c r="A75" t="s">
        <v>92</v>
      </c>
      <c r="B75" t="s">
        <v>206</v>
      </c>
    </row>
    <row r="76" spans="1:2" hidden="1" x14ac:dyDescent="0.25">
      <c r="A76" t="s">
        <v>93</v>
      </c>
      <c r="B76" t="s">
        <v>205</v>
      </c>
    </row>
    <row r="77" spans="1:2" hidden="1" x14ac:dyDescent="0.25">
      <c r="A77" t="s">
        <v>94</v>
      </c>
      <c r="B77" t="s">
        <v>205</v>
      </c>
    </row>
    <row r="78" spans="1:2" hidden="1" x14ac:dyDescent="0.25">
      <c r="A78" t="s">
        <v>95</v>
      </c>
      <c r="B78" t="s">
        <v>205</v>
      </c>
    </row>
    <row r="79" spans="1:2" hidden="1" x14ac:dyDescent="0.25">
      <c r="A79" t="s">
        <v>96</v>
      </c>
      <c r="B79" t="s">
        <v>205</v>
      </c>
    </row>
    <row r="80" spans="1:2" hidden="1" x14ac:dyDescent="0.25">
      <c r="A80" t="s">
        <v>97</v>
      </c>
      <c r="B80" t="s">
        <v>205</v>
      </c>
    </row>
    <row r="81" spans="1:2" x14ac:dyDescent="0.25">
      <c r="A81" t="s">
        <v>98</v>
      </c>
      <c r="B81" t="s">
        <v>206</v>
      </c>
    </row>
    <row r="82" spans="1:2" hidden="1" x14ac:dyDescent="0.25">
      <c r="A82" t="s">
        <v>99</v>
      </c>
      <c r="B82" t="s">
        <v>205</v>
      </c>
    </row>
    <row r="83" spans="1:2" hidden="1" x14ac:dyDescent="0.25">
      <c r="A83" t="s">
        <v>100</v>
      </c>
      <c r="B83" t="s">
        <v>205</v>
      </c>
    </row>
    <row r="84" spans="1:2" hidden="1" x14ac:dyDescent="0.25">
      <c r="A84" t="s">
        <v>101</v>
      </c>
      <c r="B84" t="s">
        <v>205</v>
      </c>
    </row>
    <row r="85" spans="1:2" x14ac:dyDescent="0.25">
      <c r="A85" t="s">
        <v>102</v>
      </c>
      <c r="B85" t="s">
        <v>206</v>
      </c>
    </row>
    <row r="86" spans="1:2" hidden="1" x14ac:dyDescent="0.25">
      <c r="A86" t="s">
        <v>103</v>
      </c>
      <c r="B86" t="s">
        <v>205</v>
      </c>
    </row>
    <row r="87" spans="1:2" hidden="1" x14ac:dyDescent="0.25">
      <c r="A87" t="s">
        <v>104</v>
      </c>
      <c r="B87" t="s">
        <v>205</v>
      </c>
    </row>
    <row r="88" spans="1:2" hidden="1" x14ac:dyDescent="0.25">
      <c r="A88" t="s">
        <v>105</v>
      </c>
      <c r="B88" t="s">
        <v>205</v>
      </c>
    </row>
    <row r="89" spans="1:2" hidden="1" x14ac:dyDescent="0.25">
      <c r="A89" t="s">
        <v>106</v>
      </c>
      <c r="B89" t="s">
        <v>205</v>
      </c>
    </row>
    <row r="90" spans="1:2" hidden="1" x14ac:dyDescent="0.25">
      <c r="A90" t="s">
        <v>107</v>
      </c>
      <c r="B90" t="s">
        <v>205</v>
      </c>
    </row>
    <row r="91" spans="1:2" hidden="1" x14ac:dyDescent="0.25">
      <c r="A91" t="s">
        <v>108</v>
      </c>
      <c r="B91" t="s">
        <v>205</v>
      </c>
    </row>
    <row r="92" spans="1:2" x14ac:dyDescent="0.25">
      <c r="A92" t="s">
        <v>109</v>
      </c>
      <c r="B92" t="s">
        <v>206</v>
      </c>
    </row>
    <row r="93" spans="1:2" hidden="1" x14ac:dyDescent="0.25">
      <c r="A93" t="s">
        <v>110</v>
      </c>
      <c r="B93" t="s">
        <v>205</v>
      </c>
    </row>
    <row r="94" spans="1:2" hidden="1" x14ac:dyDescent="0.25">
      <c r="A94" t="s">
        <v>111</v>
      </c>
      <c r="B94" t="s">
        <v>205</v>
      </c>
    </row>
    <row r="95" spans="1:2" x14ac:dyDescent="0.25">
      <c r="A95" t="s">
        <v>112</v>
      </c>
      <c r="B95" t="s">
        <v>206</v>
      </c>
    </row>
    <row r="96" spans="1:2" hidden="1" x14ac:dyDescent="0.25">
      <c r="A96" t="s">
        <v>113</v>
      </c>
      <c r="B96" t="s">
        <v>205</v>
      </c>
    </row>
    <row r="97" spans="1:2" hidden="1" x14ac:dyDescent="0.25">
      <c r="A97" t="s">
        <v>114</v>
      </c>
      <c r="B97" t="s">
        <v>205</v>
      </c>
    </row>
    <row r="98" spans="1:2" hidden="1" x14ac:dyDescent="0.25">
      <c r="A98" t="s">
        <v>115</v>
      </c>
      <c r="B98" t="s">
        <v>205</v>
      </c>
    </row>
    <row r="99" spans="1:2" hidden="1" x14ac:dyDescent="0.25">
      <c r="A99" t="s">
        <v>116</v>
      </c>
      <c r="B99" t="s">
        <v>205</v>
      </c>
    </row>
    <row r="100" spans="1:2" hidden="1" x14ac:dyDescent="0.25">
      <c r="A100" t="s">
        <v>117</v>
      </c>
      <c r="B100" t="s">
        <v>205</v>
      </c>
    </row>
    <row r="101" spans="1:2" hidden="1" x14ac:dyDescent="0.25">
      <c r="A101" t="s">
        <v>118</v>
      </c>
      <c r="B101" t="s">
        <v>205</v>
      </c>
    </row>
    <row r="102" spans="1:2" hidden="1" x14ac:dyDescent="0.25">
      <c r="A102" t="s">
        <v>119</v>
      </c>
      <c r="B102" t="s">
        <v>205</v>
      </c>
    </row>
    <row r="103" spans="1:2" hidden="1" x14ac:dyDescent="0.25">
      <c r="A103" t="s">
        <v>120</v>
      </c>
      <c r="B103" t="s">
        <v>205</v>
      </c>
    </row>
    <row r="104" spans="1:2" hidden="1" x14ac:dyDescent="0.25">
      <c r="A104" t="s">
        <v>121</v>
      </c>
      <c r="B104" t="s">
        <v>205</v>
      </c>
    </row>
    <row r="105" spans="1:2" x14ac:dyDescent="0.25">
      <c r="A105" t="s">
        <v>122</v>
      </c>
      <c r="B105" t="s">
        <v>206</v>
      </c>
    </row>
    <row r="106" spans="1:2" hidden="1" x14ac:dyDescent="0.25">
      <c r="A106" t="s">
        <v>123</v>
      </c>
      <c r="B106" t="s">
        <v>205</v>
      </c>
    </row>
    <row r="107" spans="1:2" hidden="1" x14ac:dyDescent="0.25">
      <c r="A107" t="s">
        <v>124</v>
      </c>
      <c r="B107" t="s">
        <v>205</v>
      </c>
    </row>
    <row r="108" spans="1:2" hidden="1" x14ac:dyDescent="0.25">
      <c r="A108" t="s">
        <v>125</v>
      </c>
      <c r="B108" t="s">
        <v>205</v>
      </c>
    </row>
    <row r="109" spans="1:2" hidden="1" x14ac:dyDescent="0.25">
      <c r="A109" t="s">
        <v>126</v>
      </c>
      <c r="B109" t="s">
        <v>205</v>
      </c>
    </row>
    <row r="110" spans="1:2" hidden="1" x14ac:dyDescent="0.25">
      <c r="A110" t="s">
        <v>127</v>
      </c>
      <c r="B110" t="s">
        <v>205</v>
      </c>
    </row>
    <row r="111" spans="1:2" hidden="1" x14ac:dyDescent="0.25">
      <c r="A111" t="s">
        <v>128</v>
      </c>
      <c r="B111" t="s">
        <v>205</v>
      </c>
    </row>
    <row r="112" spans="1:2" hidden="1" x14ac:dyDescent="0.25">
      <c r="A112" t="s">
        <v>129</v>
      </c>
      <c r="B112" t="s">
        <v>205</v>
      </c>
    </row>
    <row r="113" spans="1:2" hidden="1" x14ac:dyDescent="0.25">
      <c r="A113" t="s">
        <v>130</v>
      </c>
      <c r="B113" t="s">
        <v>205</v>
      </c>
    </row>
    <row r="114" spans="1:2" hidden="1" x14ac:dyDescent="0.25">
      <c r="A114" t="s">
        <v>131</v>
      </c>
      <c r="B114" t="s">
        <v>205</v>
      </c>
    </row>
    <row r="115" spans="1:2" x14ac:dyDescent="0.25">
      <c r="A115" t="s">
        <v>132</v>
      </c>
      <c r="B115" t="s">
        <v>206</v>
      </c>
    </row>
    <row r="116" spans="1:2" x14ac:dyDescent="0.25">
      <c r="A116" t="s">
        <v>133</v>
      </c>
      <c r="B116" t="s">
        <v>206</v>
      </c>
    </row>
    <row r="117" spans="1:2" hidden="1" x14ac:dyDescent="0.25">
      <c r="A117" t="s">
        <v>134</v>
      </c>
      <c r="B117" t="s">
        <v>205</v>
      </c>
    </row>
    <row r="118" spans="1:2" hidden="1" x14ac:dyDescent="0.25">
      <c r="A118" t="s">
        <v>135</v>
      </c>
      <c r="B118" t="s">
        <v>205</v>
      </c>
    </row>
    <row r="119" spans="1:2" hidden="1" x14ac:dyDescent="0.25">
      <c r="A119" t="s">
        <v>136</v>
      </c>
      <c r="B119" t="s">
        <v>205</v>
      </c>
    </row>
    <row r="120" spans="1:2" hidden="1" x14ac:dyDescent="0.25">
      <c r="A120" t="s">
        <v>137</v>
      </c>
      <c r="B120" t="s">
        <v>205</v>
      </c>
    </row>
    <row r="121" spans="1:2" hidden="1" x14ac:dyDescent="0.25">
      <c r="A121" t="s">
        <v>138</v>
      </c>
      <c r="B121" t="s">
        <v>205</v>
      </c>
    </row>
    <row r="122" spans="1:2" hidden="1" x14ac:dyDescent="0.25">
      <c r="A122" t="s">
        <v>139</v>
      </c>
      <c r="B122" t="s">
        <v>205</v>
      </c>
    </row>
    <row r="123" spans="1:2" hidden="1" x14ac:dyDescent="0.25">
      <c r="A123" t="s">
        <v>140</v>
      </c>
      <c r="B123" t="s">
        <v>205</v>
      </c>
    </row>
    <row r="124" spans="1:2" hidden="1" x14ac:dyDescent="0.25">
      <c r="A124" t="s">
        <v>141</v>
      </c>
      <c r="B124" t="s">
        <v>205</v>
      </c>
    </row>
    <row r="125" spans="1:2" hidden="1" x14ac:dyDescent="0.25">
      <c r="A125" t="s">
        <v>142</v>
      </c>
      <c r="B125" t="s">
        <v>205</v>
      </c>
    </row>
    <row r="126" spans="1:2" hidden="1" x14ac:dyDescent="0.25">
      <c r="A126" t="s">
        <v>143</v>
      </c>
      <c r="B126" t="s">
        <v>205</v>
      </c>
    </row>
    <row r="127" spans="1:2" hidden="1" x14ac:dyDescent="0.25">
      <c r="A127" t="s">
        <v>144</v>
      </c>
      <c r="B127" t="s">
        <v>205</v>
      </c>
    </row>
    <row r="128" spans="1:2" hidden="1" x14ac:dyDescent="0.25">
      <c r="A128" t="s">
        <v>145</v>
      </c>
      <c r="B128" t="s">
        <v>205</v>
      </c>
    </row>
    <row r="129" spans="1:2" hidden="1" x14ac:dyDescent="0.25">
      <c r="A129" t="s">
        <v>146</v>
      </c>
      <c r="B129" t="s">
        <v>205</v>
      </c>
    </row>
    <row r="130" spans="1:2" hidden="1" x14ac:dyDescent="0.25">
      <c r="A130" t="s">
        <v>147</v>
      </c>
      <c r="B130" t="s">
        <v>205</v>
      </c>
    </row>
    <row r="131" spans="1:2" x14ac:dyDescent="0.25">
      <c r="A131" t="s">
        <v>148</v>
      </c>
      <c r="B131" t="s">
        <v>206</v>
      </c>
    </row>
    <row r="132" spans="1:2" hidden="1" x14ac:dyDescent="0.25">
      <c r="A132" t="s">
        <v>149</v>
      </c>
      <c r="B132" t="s">
        <v>205</v>
      </c>
    </row>
    <row r="133" spans="1:2" hidden="1" x14ac:dyDescent="0.25">
      <c r="A133" t="s">
        <v>150</v>
      </c>
      <c r="B133" t="s">
        <v>205</v>
      </c>
    </row>
    <row r="134" spans="1:2" hidden="1" x14ac:dyDescent="0.25">
      <c r="A134" t="s">
        <v>151</v>
      </c>
      <c r="B134" t="s">
        <v>205</v>
      </c>
    </row>
    <row r="135" spans="1:2" hidden="1" x14ac:dyDescent="0.25">
      <c r="A135" t="s">
        <v>89</v>
      </c>
      <c r="B135" t="s">
        <v>205</v>
      </c>
    </row>
    <row r="136" spans="1:2" hidden="1" x14ac:dyDescent="0.25">
      <c r="A136" t="s">
        <v>152</v>
      </c>
      <c r="B136" t="s">
        <v>205</v>
      </c>
    </row>
    <row r="137" spans="1:2" hidden="1" x14ac:dyDescent="0.25">
      <c r="A137" t="s">
        <v>153</v>
      </c>
      <c r="B137" t="s">
        <v>205</v>
      </c>
    </row>
    <row r="138" spans="1:2" hidden="1" x14ac:dyDescent="0.25">
      <c r="A138" t="s">
        <v>154</v>
      </c>
      <c r="B138" t="s">
        <v>205</v>
      </c>
    </row>
    <row r="139" spans="1:2" hidden="1" x14ac:dyDescent="0.25">
      <c r="A139" t="s">
        <v>155</v>
      </c>
      <c r="B139" t="s">
        <v>205</v>
      </c>
    </row>
    <row r="140" spans="1:2" hidden="1" x14ac:dyDescent="0.25">
      <c r="A140" t="s">
        <v>156</v>
      </c>
      <c r="B140" t="s">
        <v>205</v>
      </c>
    </row>
    <row r="141" spans="1:2" hidden="1" x14ac:dyDescent="0.25">
      <c r="A141" t="s">
        <v>157</v>
      </c>
      <c r="B141" t="s">
        <v>205</v>
      </c>
    </row>
    <row r="142" spans="1:2" hidden="1" x14ac:dyDescent="0.25">
      <c r="A142" t="s">
        <v>158</v>
      </c>
      <c r="B142" t="s">
        <v>205</v>
      </c>
    </row>
    <row r="143" spans="1:2" x14ac:dyDescent="0.25">
      <c r="A143" t="s">
        <v>159</v>
      </c>
      <c r="B143" t="s">
        <v>206</v>
      </c>
    </row>
    <row r="144" spans="1:2" hidden="1" x14ac:dyDescent="0.25">
      <c r="A144" t="s">
        <v>160</v>
      </c>
      <c r="B144" t="s">
        <v>205</v>
      </c>
    </row>
    <row r="145" spans="1:2" hidden="1" x14ac:dyDescent="0.25">
      <c r="A145" t="s">
        <v>161</v>
      </c>
      <c r="B145" t="s">
        <v>205</v>
      </c>
    </row>
    <row r="146" spans="1:2" x14ac:dyDescent="0.25">
      <c r="A146" t="s">
        <v>162</v>
      </c>
      <c r="B146" t="s">
        <v>206</v>
      </c>
    </row>
    <row r="147" spans="1:2" x14ac:dyDescent="0.25">
      <c r="A147" t="s">
        <v>163</v>
      </c>
      <c r="B147" t="s">
        <v>206</v>
      </c>
    </row>
    <row r="148" spans="1:2" hidden="1" x14ac:dyDescent="0.25">
      <c r="A148" t="s">
        <v>164</v>
      </c>
      <c r="B148" t="s">
        <v>205</v>
      </c>
    </row>
    <row r="149" spans="1:2" hidden="1" x14ac:dyDescent="0.25">
      <c r="A149" t="s">
        <v>165</v>
      </c>
      <c r="B149" t="s">
        <v>205</v>
      </c>
    </row>
    <row r="150" spans="1:2" hidden="1" x14ac:dyDescent="0.25">
      <c r="A150" t="s">
        <v>166</v>
      </c>
      <c r="B150" t="s">
        <v>205</v>
      </c>
    </row>
    <row r="151" spans="1:2" x14ac:dyDescent="0.25">
      <c r="A151" t="s">
        <v>167</v>
      </c>
      <c r="B151" t="s">
        <v>206</v>
      </c>
    </row>
    <row r="152" spans="1:2" x14ac:dyDescent="0.25">
      <c r="A152" t="s">
        <v>168</v>
      </c>
      <c r="B152" t="s">
        <v>206</v>
      </c>
    </row>
    <row r="153" spans="1:2" hidden="1" x14ac:dyDescent="0.25">
      <c r="A153" t="s">
        <v>169</v>
      </c>
      <c r="B153" t="s">
        <v>205</v>
      </c>
    </row>
    <row r="154" spans="1:2" hidden="1" x14ac:dyDescent="0.25">
      <c r="A154" t="s">
        <v>170</v>
      </c>
      <c r="B154" t="s">
        <v>205</v>
      </c>
    </row>
    <row r="155" spans="1:2" x14ac:dyDescent="0.25">
      <c r="A155" t="s">
        <v>171</v>
      </c>
      <c r="B155" t="s">
        <v>206</v>
      </c>
    </row>
    <row r="156" spans="1:2" hidden="1" x14ac:dyDescent="0.25">
      <c r="A156" t="s">
        <v>172</v>
      </c>
      <c r="B156" t="s">
        <v>205</v>
      </c>
    </row>
    <row r="157" spans="1:2" x14ac:dyDescent="0.25">
      <c r="A157" t="s">
        <v>173</v>
      </c>
      <c r="B157" t="s">
        <v>206</v>
      </c>
    </row>
    <row r="158" spans="1:2" hidden="1" x14ac:dyDescent="0.25">
      <c r="A158" t="s">
        <v>174</v>
      </c>
      <c r="B158" t="s">
        <v>205</v>
      </c>
    </row>
    <row r="159" spans="1:2" x14ac:dyDescent="0.25">
      <c r="A159" t="s">
        <v>175</v>
      </c>
      <c r="B159" t="s">
        <v>206</v>
      </c>
    </row>
    <row r="160" spans="1:2" hidden="1" x14ac:dyDescent="0.25">
      <c r="A160" t="s">
        <v>176</v>
      </c>
      <c r="B160" t="s">
        <v>205</v>
      </c>
    </row>
    <row r="161" spans="1:2" x14ac:dyDescent="0.25">
      <c r="A161" t="s">
        <v>177</v>
      </c>
      <c r="B161" t="s">
        <v>206</v>
      </c>
    </row>
    <row r="162" spans="1:2" hidden="1" x14ac:dyDescent="0.25">
      <c r="A162" t="s">
        <v>178</v>
      </c>
      <c r="B162" t="s">
        <v>205</v>
      </c>
    </row>
    <row r="163" spans="1:2" hidden="1" x14ac:dyDescent="0.25">
      <c r="A163" t="s">
        <v>179</v>
      </c>
      <c r="B163" t="s">
        <v>205</v>
      </c>
    </row>
    <row r="164" spans="1:2" hidden="1" x14ac:dyDescent="0.25">
      <c r="A164" t="s">
        <v>180</v>
      </c>
      <c r="B164" t="s">
        <v>205</v>
      </c>
    </row>
    <row r="165" spans="1:2" hidden="1" x14ac:dyDescent="0.25">
      <c r="A165" t="s">
        <v>181</v>
      </c>
      <c r="B165" t="s">
        <v>205</v>
      </c>
    </row>
    <row r="166" spans="1:2" hidden="1" x14ac:dyDescent="0.25">
      <c r="A166" t="s">
        <v>182</v>
      </c>
      <c r="B166" t="s">
        <v>205</v>
      </c>
    </row>
    <row r="167" spans="1:2" hidden="1" x14ac:dyDescent="0.25">
      <c r="A167" t="s">
        <v>183</v>
      </c>
      <c r="B167" t="s">
        <v>205</v>
      </c>
    </row>
    <row r="168" spans="1:2" x14ac:dyDescent="0.25">
      <c r="A168" t="s">
        <v>184</v>
      </c>
      <c r="B168" t="s">
        <v>206</v>
      </c>
    </row>
    <row r="169" spans="1:2" hidden="1" x14ac:dyDescent="0.25">
      <c r="A169" t="s">
        <v>185</v>
      </c>
      <c r="B169" t="s">
        <v>205</v>
      </c>
    </row>
    <row r="170" spans="1:2" x14ac:dyDescent="0.25">
      <c r="A170" t="s">
        <v>186</v>
      </c>
      <c r="B170" t="s">
        <v>206</v>
      </c>
    </row>
    <row r="171" spans="1:2" x14ac:dyDescent="0.25">
      <c r="A171" t="s">
        <v>187</v>
      </c>
      <c r="B171" t="s">
        <v>206</v>
      </c>
    </row>
    <row r="172" spans="1:2" hidden="1" x14ac:dyDescent="0.25">
      <c r="A172" t="s">
        <v>188</v>
      </c>
      <c r="B172" t="s">
        <v>205</v>
      </c>
    </row>
    <row r="173" spans="1:2" hidden="1" x14ac:dyDescent="0.25">
      <c r="A173" t="s">
        <v>189</v>
      </c>
      <c r="B173" t="s">
        <v>205</v>
      </c>
    </row>
    <row r="174" spans="1:2" hidden="1" x14ac:dyDescent="0.25">
      <c r="A174" t="s">
        <v>190</v>
      </c>
      <c r="B174" t="s">
        <v>205</v>
      </c>
    </row>
    <row r="175" spans="1:2" hidden="1" x14ac:dyDescent="0.25">
      <c r="A175" t="s">
        <v>191</v>
      </c>
      <c r="B175" t="s">
        <v>205</v>
      </c>
    </row>
    <row r="176" spans="1:2" hidden="1" x14ac:dyDescent="0.25">
      <c r="A176" t="s">
        <v>192</v>
      </c>
      <c r="B176" t="s">
        <v>205</v>
      </c>
    </row>
    <row r="177" spans="1:2" hidden="1" x14ac:dyDescent="0.25">
      <c r="A177" t="s">
        <v>193</v>
      </c>
      <c r="B177" t="s">
        <v>205</v>
      </c>
    </row>
    <row r="178" spans="1:2" hidden="1" x14ac:dyDescent="0.25">
      <c r="A178" t="s">
        <v>194</v>
      </c>
      <c r="B178" t="s">
        <v>205</v>
      </c>
    </row>
    <row r="179" spans="1:2" x14ac:dyDescent="0.25">
      <c r="A179" t="s">
        <v>195</v>
      </c>
      <c r="B179" t="s">
        <v>206</v>
      </c>
    </row>
    <row r="180" spans="1:2" x14ac:dyDescent="0.25">
      <c r="A180" t="s">
        <v>196</v>
      </c>
      <c r="B180" t="s">
        <v>206</v>
      </c>
    </row>
    <row r="181" spans="1:2" x14ac:dyDescent="0.25">
      <c r="A181" t="s">
        <v>197</v>
      </c>
      <c r="B181" t="s">
        <v>206</v>
      </c>
    </row>
    <row r="182" spans="1:2" x14ac:dyDescent="0.25">
      <c r="A182" t="s">
        <v>198</v>
      </c>
      <c r="B182" t="s">
        <v>206</v>
      </c>
    </row>
    <row r="183" spans="1:2" x14ac:dyDescent="0.25">
      <c r="A183" t="s">
        <v>199</v>
      </c>
      <c r="B183" t="s">
        <v>206</v>
      </c>
    </row>
    <row r="184" spans="1:2" x14ac:dyDescent="0.25">
      <c r="A184" t="s">
        <v>200</v>
      </c>
      <c r="B184" t="s">
        <v>206</v>
      </c>
    </row>
    <row r="185" spans="1:2" x14ac:dyDescent="0.25">
      <c r="A185" t="s">
        <v>201</v>
      </c>
      <c r="B185" t="s">
        <v>206</v>
      </c>
    </row>
    <row r="186" spans="1:2" x14ac:dyDescent="0.25">
      <c r="A186" t="s">
        <v>202</v>
      </c>
      <c r="B186" t="s">
        <v>206</v>
      </c>
    </row>
    <row r="187" spans="1:2" x14ac:dyDescent="0.25">
      <c r="A187" t="s">
        <v>203</v>
      </c>
      <c r="B187" t="s">
        <v>206</v>
      </c>
    </row>
  </sheetData>
  <autoFilter ref="A1:B187">
    <filterColumn colId="1">
      <filters>
        <filter val="yes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Summary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2018-08-08T20:14:46Z</dcterms:modified>
</cp:coreProperties>
</file>