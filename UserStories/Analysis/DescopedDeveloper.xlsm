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Objects="none" filterPrivacy="1" codeName="ThisWorkbook" autoCompressPictures="0" defaultThemeVersion="124226"/>
  <bookViews>
    <workbookView xWindow="240" yWindow="105" windowWidth="14805" windowHeight="8025" firstSheet="9" activeTab="16"/>
  </bookViews>
  <sheets>
    <sheet name="Template" sheetId="7" r:id="rId1"/>
    <sheet name="Summary" sheetId="1" r:id="rId2"/>
    <sheet name="Descoped1802" sheetId="5" r:id="rId3"/>
    <sheet name="Descoped1803" sheetId="9" r:id="rId4"/>
    <sheet name="Sheet5" sheetId="10" r:id="rId5"/>
    <sheet name="Sheet6" sheetId="11" r:id="rId6"/>
    <sheet name="Sheet7" sheetId="12" r:id="rId7"/>
    <sheet name="Sheet8" sheetId="13" r:id="rId8"/>
    <sheet name="Sheet9" sheetId="14" r:id="rId9"/>
    <sheet name="Sheet10" sheetId="15" r:id="rId10"/>
    <sheet name="Sheet11" sheetId="16" r:id="rId11"/>
    <sheet name="Sheet12" sheetId="17" r:id="rId12"/>
    <sheet name="Sheet13" sheetId="18" r:id="rId13"/>
    <sheet name="Sheet1" sheetId="19" r:id="rId14"/>
    <sheet name="Sheet2" sheetId="20" r:id="rId15"/>
    <sheet name="Sheet16" sheetId="21" r:id="rId16"/>
    <sheet name="Sheet17" sheetId="22" r:id="rId17"/>
  </sheets>
  <calcPr calcId="152511" iterate="1" iterateDelta="1E-4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5" i="1" l="1"/>
  <c r="H1" i="20"/>
  <c r="A17" i="1"/>
  <c r="H1" i="22"/>
  <c r="A16" i="1"/>
  <c r="H1" i="21"/>
  <c r="A8" i="1"/>
  <c r="H1" i="13"/>
  <c r="A13" i="1"/>
  <c r="H1" i="18"/>
  <c r="A12" i="1"/>
  <c r="H1" i="17"/>
  <c r="A11" i="1"/>
  <c r="H1" i="16"/>
  <c r="A10" i="1"/>
  <c r="H1" i="15"/>
  <c r="A9" i="1"/>
  <c r="H1" i="14"/>
  <c r="A6" i="1"/>
  <c r="H1" i="11"/>
  <c r="A5" i="1"/>
  <c r="H1" i="10"/>
  <c r="A4" i="1"/>
  <c r="H1" i="9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</calcChain>
</file>

<file path=xl/sharedStrings.xml><?xml version="1.0" encoding="utf-8"?>
<sst xmlns="http://schemas.openxmlformats.org/spreadsheetml/2006/main" count="337" uniqueCount="156">
  <si>
    <t>Date</t>
  </si>
  <si>
    <t>Comment</t>
  </si>
  <si>
    <t>Notes</t>
  </si>
  <si>
    <t>Summary Page</t>
  </si>
  <si>
    <t>To make a new Flight:</t>
  </si>
  <si>
    <t>1) Under "HOME" go to "Format"</t>
  </si>
  <si>
    <r>
      <t>2) "Format" -&gt; "Organize Sheets" -&gt; "</t>
    </r>
    <r>
      <rPr>
        <u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ove or Copy Sheets… "-&gt;</t>
    </r>
  </si>
  <si>
    <r>
      <t xml:space="preserve">3) In the "Move or Copy Sheets…" window choose this </t>
    </r>
    <r>
      <rPr>
        <b/>
        <sz val="11"/>
        <color theme="1"/>
        <rFont val="Calibri"/>
        <family val="2"/>
        <scheme val="minor"/>
      </rPr>
      <t>TEMPLATE</t>
    </r>
    <r>
      <rPr>
        <sz val="11"/>
        <color theme="1"/>
        <rFont val="Calibri"/>
        <family val="2"/>
        <scheme val="minor"/>
      </rPr>
      <t xml:space="preserve"> and check the "Create a Copy" box</t>
    </r>
  </si>
  <si>
    <r>
      <t xml:space="preserve">4) Rename the </t>
    </r>
    <r>
      <rPr>
        <b/>
        <sz val="11"/>
        <color theme="1"/>
        <rFont val="Calibri"/>
        <family val="2"/>
        <scheme val="minor"/>
      </rPr>
      <t>TEMPLATE(2)</t>
    </r>
    <r>
      <rPr>
        <sz val="11"/>
        <color theme="1"/>
        <rFont val="Calibri"/>
        <family val="2"/>
        <scheme val="minor"/>
      </rPr>
      <t xml:space="preserve"> to the new Flight#</t>
    </r>
  </si>
  <si>
    <t>5) Update the Summary Page for ArduPlane, Parameter Version, and Operator in Command</t>
  </si>
  <si>
    <t>6) Start recording :D</t>
  </si>
  <si>
    <t>7) At the end of the flight, make sure to update the Summary page for the flight comments and number of minutes in air</t>
  </si>
  <si>
    <t>Timestamp Auto</t>
  </si>
  <si>
    <t>Create a New Sprint!</t>
  </si>
  <si>
    <t>Sprint</t>
  </si>
  <si>
    <t>Matlab Version</t>
  </si>
  <si>
    <t>R2017a</t>
  </si>
  <si>
    <t>Operator</t>
  </si>
  <si>
    <t>Descoped Data</t>
  </si>
  <si>
    <t>Hannah Rotta</t>
  </si>
  <si>
    <t>Developer</t>
  </si>
  <si>
    <t>Alex Bernard</t>
  </si>
  <si>
    <t>Amol Sharma</t>
  </si>
  <si>
    <t>Bohao Zhu</t>
  </si>
  <si>
    <t>Bryson Bruno</t>
  </si>
  <si>
    <t>Chung Choi</t>
  </si>
  <si>
    <t>Firn Tieanklin</t>
  </si>
  <si>
    <t>Gabriella Sciuchetti</t>
  </si>
  <si>
    <t>Grant Bringham</t>
  </si>
  <si>
    <t>Helen Kuni</t>
  </si>
  <si>
    <t>Jaspreet Sidhu</t>
  </si>
  <si>
    <t>Joshua Brockschmidt</t>
  </si>
  <si>
    <t>Kirby Taylor</t>
  </si>
  <si>
    <t>Laura Smit</t>
  </si>
  <si>
    <t>Nicholas Price</t>
  </si>
  <si>
    <t>Ravi Patel</t>
  </si>
  <si>
    <t>Sai Ranganathan</t>
  </si>
  <si>
    <t>Samden Sherpa</t>
  </si>
  <si>
    <t>Shaunak Pandit</t>
  </si>
  <si>
    <t>Sheershak Agarwal</t>
  </si>
  <si>
    <t>Shida Xu</t>
  </si>
  <si>
    <t>Sita Manne</t>
  </si>
  <si>
    <t>Taehan Kook</t>
  </si>
  <si>
    <t>Tao Jin</t>
  </si>
  <si>
    <t>Travis Clement</t>
  </si>
  <si>
    <t>Vivian Hua</t>
  </si>
  <si>
    <t>Zach Caratao</t>
  </si>
  <si>
    <t>Zachary Rotter</t>
  </si>
  <si>
    <t>Zachary Williams</t>
  </si>
  <si>
    <t>GroupCount</t>
  </si>
  <si>
    <t>mean_Pts</t>
  </si>
  <si>
    <t>SUM</t>
  </si>
  <si>
    <t>Agarwal Sheershak</t>
  </si>
  <si>
    <t>Bringham Grant</t>
  </si>
  <si>
    <t>Brockschmidt Joshua</t>
  </si>
  <si>
    <t>Choi Chung</t>
  </si>
  <si>
    <t>Clement Travis</t>
  </si>
  <si>
    <t>Fletcher Blake</t>
  </si>
  <si>
    <t>Hua Vivian</t>
  </si>
  <si>
    <t>Jin Tao</t>
  </si>
  <si>
    <t>Kook Taehan</t>
  </si>
  <si>
    <t>Kuni Helen</t>
  </si>
  <si>
    <t>Longhurst Jacob</t>
  </si>
  <si>
    <t>Lynch Christopher</t>
  </si>
  <si>
    <t>Manne Sita</t>
  </si>
  <si>
    <t>Pandit Shaunak</t>
  </si>
  <si>
    <t>Patel Ravi</t>
  </si>
  <si>
    <t>Price Nicholas</t>
  </si>
  <si>
    <t>Ranganathan Sai</t>
  </si>
  <si>
    <t>Rotter Zachary</t>
  </si>
  <si>
    <t>Sciuchetti Gabriella</t>
  </si>
  <si>
    <t>Sharma Amol</t>
  </si>
  <si>
    <t>Sidhu Jaspreet</t>
  </si>
  <si>
    <t>Smit Laura</t>
  </si>
  <si>
    <t>Taylor Kirby</t>
  </si>
  <si>
    <t>Tieanklin Firn</t>
  </si>
  <si>
    <t>Williams Zachary</t>
  </si>
  <si>
    <t>Xu Shida</t>
  </si>
  <si>
    <t>Cantey Cory</t>
  </si>
  <si>
    <t>Chandra Frederick</t>
  </si>
  <si>
    <t>Grimes Ryan</t>
  </si>
  <si>
    <t>Hoff Dylan</t>
  </si>
  <si>
    <t>Lee Kelly</t>
  </si>
  <si>
    <t>Oung Veen</t>
  </si>
  <si>
    <t>Patana-anake Tinnabhand</t>
  </si>
  <si>
    <t>Rotta Hannah</t>
  </si>
  <si>
    <t>Guiste Mason</t>
  </si>
  <si>
    <t>Nothing descoped this sprint</t>
  </si>
  <si>
    <t>Bruno Bryson</t>
  </si>
  <si>
    <t>Chauhan Aditi</t>
  </si>
  <si>
    <t>Widanta Valdi</t>
  </si>
  <si>
    <t>R2016b</t>
  </si>
  <si>
    <t>Collom Gerald</t>
  </si>
  <si>
    <t>Lei Norman</t>
  </si>
  <si>
    <t>Li Boda</t>
  </si>
  <si>
    <t>Svitelskyi Rostyk</t>
  </si>
  <si>
    <t>Lee Sam</t>
  </si>
  <si>
    <t>Natarajan Pranav</t>
  </si>
  <si>
    <t>Stanley Shawn</t>
  </si>
  <si>
    <t>Carda Sean</t>
  </si>
  <si>
    <t>Curiel Kevin</t>
  </si>
  <si>
    <t>Hughes Emelia</t>
  </si>
  <si>
    <t>Jay Ankur</t>
  </si>
  <si>
    <t>Kaur Pritinder</t>
  </si>
  <si>
    <t>Kim Yubin</t>
  </si>
  <si>
    <t>Kulkarni Abhishek</t>
  </si>
  <si>
    <t>Lee Josh</t>
  </si>
  <si>
    <t>Liu Wendy</t>
  </si>
  <si>
    <t>Lum Christopher</t>
  </si>
  <si>
    <t>Mortell Liam</t>
  </si>
  <si>
    <t>Park Austin</t>
  </si>
  <si>
    <t>Wells Peyton</t>
  </si>
  <si>
    <t>White Nathan</t>
  </si>
  <si>
    <t>Dong Houyu</t>
  </si>
  <si>
    <t>Lakshmanan Sidharth</t>
  </si>
  <si>
    <t>Latimer Zechariah</t>
  </si>
  <si>
    <t>Xu Yixin</t>
  </si>
  <si>
    <t>Austin Lyddie</t>
  </si>
  <si>
    <t>Bi Hannah</t>
  </si>
  <si>
    <t>Friend Michael</t>
  </si>
  <si>
    <t>Han Nathan</t>
  </si>
  <si>
    <t>Hayner Chris</t>
  </si>
  <si>
    <t>Latimer Zech</t>
  </si>
  <si>
    <t>Li Tina</t>
  </si>
  <si>
    <t>Nguyen An</t>
  </si>
  <si>
    <t>Raikar Akshay</t>
  </si>
  <si>
    <t>Uehara Ethan</t>
  </si>
  <si>
    <t>Wu Cherie</t>
  </si>
  <si>
    <t>Zhang Wayne</t>
  </si>
  <si>
    <t>Christopher Lum</t>
  </si>
  <si>
    <t>Akshay Raikar</t>
  </si>
  <si>
    <t>Cherie Wu</t>
  </si>
  <si>
    <t>Ethan Uehara</t>
  </si>
  <si>
    <t>Hannah Bi</t>
  </si>
  <si>
    <t>Liam Mortell</t>
  </si>
  <si>
    <t>Michael Friend</t>
  </si>
  <si>
    <t>Nathan Han</t>
  </si>
  <si>
    <t>Pranav Natarajan</t>
  </si>
  <si>
    <t>Rostyk Svitelskyi</t>
  </si>
  <si>
    <t>Yubin Kim</t>
  </si>
  <si>
    <t>Zech Latimer</t>
  </si>
  <si>
    <t>R2015b</t>
  </si>
  <si>
    <t>Mozes Jacobs</t>
  </si>
  <si>
    <t>Natanael Putra</t>
  </si>
  <si>
    <t>Tina Li</t>
  </si>
  <si>
    <t>Veen Oung</t>
  </si>
  <si>
    <t>Choi John</t>
  </si>
  <si>
    <t>Ibrahim Rabab</t>
  </si>
  <si>
    <t>Labib Arvean</t>
  </si>
  <si>
    <t>Putra Natanael</t>
  </si>
  <si>
    <t>Srivathsan Aaditya</t>
  </si>
  <si>
    <t>Aaditya Srivathsan</t>
  </si>
  <si>
    <t>Arvean Labib</t>
  </si>
  <si>
    <t>Can't find the sheet; descoped developers should be Aaditya Srivathsan, Arvean Labib, and Rostyk Svitelskyi</t>
  </si>
  <si>
    <t>R2019a</t>
  </si>
  <si>
    <t>Descoped developers neither printed to the command line nor saved in a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</si>
</sst>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[$-409]h:mm:ss\ AM/P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2" fillId="2" borderId="0" xfId="1" applyFill="1"/>
    <xf numFmtId="0" fontId="3" fillId="0" borderId="0" xfId="0" applyFont="1"/>
    <xf numFmtId="165" fontId="1" fillId="0" borderId="0" xfId="0" applyNumberFormat="1" applyFont="1"/>
    <xf numFmtId="165" fontId="0" fillId="0" borderId="0" xfId="0" applyNumberFormat="1"/>
    <xf numFmtId="0" fontId="2" fillId="0" borderId="0" xfId="1" applyFill="1"/>
    <xf numFmtId="0" fontId="0" fillId="0" borderId="0" xfId="0" applyAlignment="1">
      <alignment horizontal="right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1"/>
  <sheetViews>
    <sheetView workbookViewId="0">
      <selection activeCell="I1" sqref="I1"/>
    </sheetView>
  </sheetViews>
  <sheetFormatPr defaultColWidth="11.42578125" defaultRowHeight="15" x14ac:dyDescent="0.25"/>
  <cols>
    <col min="1" max="1" width="16.42578125" style="8" customWidth="1"/>
  </cols>
  <sheetData>
    <row r="1" spans="1:9" x14ac:dyDescent="0.25">
      <c r="A1" s="7" t="s">
        <v>12</v>
      </c>
      <c r="B1" s="1" t="s">
        <v>2</v>
      </c>
      <c r="I1" s="5" t="s">
        <v>3</v>
      </c>
    </row>
    <row r="2" spans="1:9" x14ac:dyDescent="0.25">
      <c r="A2" s="8" t="str">
        <f t="shared" ref="A2:A41" ca="1" si="0">IF(B2&lt;&gt;"",IF(A2="",NOW(),A2),"")</f>
        <v/>
      </c>
    </row>
    <row r="3" spans="1:9" x14ac:dyDescent="0.25">
      <c r="A3" s="8" t="str">
        <f t="shared" ca="1" si="0"/>
        <v/>
      </c>
      <c r="I3" s="6" t="s">
        <v>4</v>
      </c>
    </row>
    <row r="4" spans="1:9" x14ac:dyDescent="0.25">
      <c r="A4" s="8" t="str">
        <f t="shared" ca="1" si="0"/>
        <v/>
      </c>
      <c r="I4" t="s">
        <v>5</v>
      </c>
    </row>
    <row r="5" spans="1:9" x14ac:dyDescent="0.25">
      <c r="A5" s="8" t="str">
        <f t="shared" ca="1" si="0"/>
        <v/>
      </c>
      <c r="I5" t="s">
        <v>6</v>
      </c>
    </row>
    <row r="6" spans="1:9" x14ac:dyDescent="0.25">
      <c r="A6" s="8" t="str">
        <f t="shared" ca="1" si="0"/>
        <v/>
      </c>
      <c r="I6" t="s">
        <v>7</v>
      </c>
    </row>
    <row r="7" spans="1:9" x14ac:dyDescent="0.25">
      <c r="A7" s="8" t="str">
        <f t="shared" ca="1" si="0"/>
        <v/>
      </c>
      <c r="I7" t="s">
        <v>8</v>
      </c>
    </row>
    <row r="8" spans="1:9" x14ac:dyDescent="0.25">
      <c r="A8" s="8" t="str">
        <f t="shared" ca="1" si="0"/>
        <v/>
      </c>
      <c r="I8" t="s">
        <v>9</v>
      </c>
    </row>
    <row r="9" spans="1:9" x14ac:dyDescent="0.25">
      <c r="A9" s="8" t="str">
        <f t="shared" ca="1" si="0"/>
        <v/>
      </c>
      <c r="I9" t="s">
        <v>10</v>
      </c>
    </row>
    <row r="10" spans="1:9" x14ac:dyDescent="0.25">
      <c r="A10" s="8" t="str">
        <f t="shared" ca="1" si="0"/>
        <v/>
      </c>
      <c r="I10" t="s">
        <v>11</v>
      </c>
    </row>
    <row r="11" spans="1:9" x14ac:dyDescent="0.25">
      <c r="A11" s="8" t="str">
        <f t="shared" ca="1" si="0"/>
        <v/>
      </c>
    </row>
    <row r="12" spans="1:9" x14ac:dyDescent="0.25">
      <c r="A12" s="8" t="str">
        <f t="shared" ca="1" si="0"/>
        <v/>
      </c>
    </row>
    <row r="13" spans="1:9" x14ac:dyDescent="0.25">
      <c r="A13" s="8" t="str">
        <f t="shared" ca="1" si="0"/>
        <v/>
      </c>
    </row>
    <row r="14" spans="1:9" x14ac:dyDescent="0.25">
      <c r="A14" s="8" t="str">
        <f t="shared" ca="1" si="0"/>
        <v/>
      </c>
    </row>
    <row r="15" spans="1:9" x14ac:dyDescent="0.25">
      <c r="A15" s="8" t="str">
        <f t="shared" ca="1" si="0"/>
        <v/>
      </c>
    </row>
    <row r="16" spans="1:9" x14ac:dyDescent="0.25">
      <c r="A16" s="8" t="str">
        <f t="shared" ca="1" si="0"/>
        <v/>
      </c>
    </row>
    <row r="17" spans="1:1" x14ac:dyDescent="0.25">
      <c r="A17" s="8" t="str">
        <f t="shared" ca="1" si="0"/>
        <v/>
      </c>
    </row>
    <row r="18" spans="1:1" x14ac:dyDescent="0.25">
      <c r="A18" s="8" t="str">
        <f t="shared" ca="1" si="0"/>
        <v/>
      </c>
    </row>
    <row r="19" spans="1:1" x14ac:dyDescent="0.25">
      <c r="A19" s="8" t="str">
        <f t="shared" ca="1" si="0"/>
        <v/>
      </c>
    </row>
    <row r="20" spans="1:1" x14ac:dyDescent="0.25">
      <c r="A20" s="8" t="str">
        <f t="shared" ca="1" si="0"/>
        <v/>
      </c>
    </row>
    <row r="21" spans="1:1" x14ac:dyDescent="0.25">
      <c r="A21" s="8" t="str">
        <f t="shared" ca="1" si="0"/>
        <v/>
      </c>
    </row>
    <row r="22" spans="1:1" x14ac:dyDescent="0.25">
      <c r="A22" s="8" t="str">
        <f t="shared" ca="1" si="0"/>
        <v/>
      </c>
    </row>
    <row r="23" spans="1:1" x14ac:dyDescent="0.25">
      <c r="A23" s="8" t="str">
        <f t="shared" ca="1" si="0"/>
        <v/>
      </c>
    </row>
    <row r="24" spans="1:1" x14ac:dyDescent="0.25">
      <c r="A24" s="8" t="str">
        <f t="shared" ca="1" si="0"/>
        <v/>
      </c>
    </row>
    <row r="25" spans="1:1" x14ac:dyDescent="0.25">
      <c r="A25" s="8" t="str">
        <f t="shared" ca="1" si="0"/>
        <v/>
      </c>
    </row>
    <row r="26" spans="1:1" x14ac:dyDescent="0.25">
      <c r="A26" s="8" t="str">
        <f t="shared" ca="1" si="0"/>
        <v/>
      </c>
    </row>
    <row r="27" spans="1:1" x14ac:dyDescent="0.25">
      <c r="A27" s="8" t="str">
        <f t="shared" ca="1" si="0"/>
        <v/>
      </c>
    </row>
    <row r="28" spans="1:1" x14ac:dyDescent="0.25">
      <c r="A28" s="8" t="str">
        <f t="shared" ca="1" si="0"/>
        <v/>
      </c>
    </row>
    <row r="29" spans="1:1" x14ac:dyDescent="0.25">
      <c r="A29" s="8" t="str">
        <f t="shared" ca="1" si="0"/>
        <v/>
      </c>
    </row>
    <row r="30" spans="1:1" x14ac:dyDescent="0.25">
      <c r="A30" s="8" t="str">
        <f t="shared" ca="1" si="0"/>
        <v/>
      </c>
    </row>
    <row r="31" spans="1:1" x14ac:dyDescent="0.25">
      <c r="A31" s="8" t="str">
        <f t="shared" ca="1" si="0"/>
        <v/>
      </c>
    </row>
    <row r="32" spans="1:1" x14ac:dyDescent="0.25">
      <c r="A32" s="8" t="str">
        <f t="shared" ca="1" si="0"/>
        <v/>
      </c>
    </row>
    <row r="33" spans="1:1" x14ac:dyDescent="0.25">
      <c r="A33" s="8" t="str">
        <f t="shared" ca="1" si="0"/>
        <v/>
      </c>
    </row>
    <row r="34" spans="1:1" x14ac:dyDescent="0.25">
      <c r="A34" s="8" t="str">
        <f t="shared" ca="1" si="0"/>
        <v/>
      </c>
    </row>
    <row r="35" spans="1:1" x14ac:dyDescent="0.25">
      <c r="A35" s="8" t="str">
        <f t="shared" ca="1" si="0"/>
        <v/>
      </c>
    </row>
    <row r="36" spans="1:1" x14ac:dyDescent="0.25">
      <c r="A36" s="8" t="str">
        <f t="shared" ca="1" si="0"/>
        <v/>
      </c>
    </row>
    <row r="37" spans="1:1" x14ac:dyDescent="0.25">
      <c r="A37" s="8" t="str">
        <f t="shared" ca="1" si="0"/>
        <v/>
      </c>
    </row>
    <row r="38" spans="1:1" x14ac:dyDescent="0.25">
      <c r="A38" s="8" t="str">
        <f t="shared" ca="1" si="0"/>
        <v/>
      </c>
    </row>
    <row r="39" spans="1:1" x14ac:dyDescent="0.25">
      <c r="A39" s="8" t="str">
        <f t="shared" ca="1" si="0"/>
        <v/>
      </c>
    </row>
    <row r="40" spans="1:1" x14ac:dyDescent="0.25">
      <c r="A40" s="8" t="str">
        <f t="shared" ca="1" si="0"/>
        <v/>
      </c>
    </row>
    <row r="41" spans="1:1" x14ac:dyDescent="0.25">
      <c r="A41" s="8" t="str">
        <f t="shared" ca="1" si="0"/>
        <v/>
      </c>
    </row>
  </sheetData>
  <hyperlinks>
    <hyperlink ref="I1" location="Summary!A1" display="Summary Page"/>
  </hyperlink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workbookViewId="0">
      <pane ySplit="2" topLeftCell="A11" activePane="bottomLeft" state="frozen"/>
      <selection pane="bottomLeft" activeCell="E25" sqref="E25"/>
    </sheetView>
  </sheetViews>
  <sheetFormatPr defaultColWidth="8.85546875" defaultRowHeight="15" x14ac:dyDescent="0.25"/>
  <cols>
    <col min="1" max="1" width="10.42578125" bestFit="1" customWidth="1"/>
    <col min="2" max="2" width="10.42578125" style="2" bestFit="1" customWidth="1"/>
    <col min="3" max="3" width="12" style="10" customWidth="1"/>
    <col min="4" max="4" width="12.85546875" customWidth="1"/>
    <col min="5" max="5" width="20.85546875" bestFit="1" customWidth="1"/>
    <col min="6" max="6" width="10.28515625" customWidth="1"/>
  </cols>
  <sheetData>
    <row r="1" spans="1:7" x14ac:dyDescent="0.25">
      <c r="A1" t="s">
        <v>18</v>
      </c>
      <c r="B1"/>
      <c r="E1" s="5" t="s">
        <v>13</v>
      </c>
      <c r="G1" s="5" t="s">
        <v>3</v>
      </c>
    </row>
    <row r="2" spans="1:7" s="4" customFormat="1" ht="29.25" customHeight="1" x14ac:dyDescent="0.25">
      <c r="A2" s="3" t="s">
        <v>14</v>
      </c>
      <c r="B2" s="3" t="s">
        <v>0</v>
      </c>
      <c r="C2" s="3" t="s">
        <v>15</v>
      </c>
      <c r="D2" s="3" t="s">
        <v>17</v>
      </c>
      <c r="E2" s="3" t="s">
        <v>1</v>
      </c>
    </row>
    <row r="3" spans="1:7" x14ac:dyDescent="0.25">
      <c r="A3" s="9">
        <v>1802</v>
      </c>
      <c r="B3" s="2">
        <v>43165</v>
      </c>
      <c r="C3" s="10" t="s">
        <v>16</v>
      </c>
      <c r="D3" t="s">
        <v>19</v>
      </c>
    </row>
    <row r="4" spans="1:7" x14ac:dyDescent="0.25">
      <c r="A4" s="11" t="str">
        <f>HYPERLINK("#'Sheet5'!A1","1803")</f>
        <v>1803</v>
      </c>
      <c r="B4" s="2">
        <v>43188</v>
      </c>
      <c r="C4" s="10" t="s">
        <v>16</v>
      </c>
      <c r="D4" t="s">
        <v>19</v>
      </c>
    </row>
    <row r="5" spans="1:7" x14ac:dyDescent="0.25">
      <c r="A5" s="11" t="str">
        <f>HYPERLINK("#'Sheet5'!A1","1804")</f>
        <v>1804</v>
      </c>
      <c r="B5" s="2">
        <v>43271</v>
      </c>
      <c r="C5" s="10" t="s">
        <v>16</v>
      </c>
      <c r="D5" t="s">
        <v>42</v>
      </c>
    </row>
    <row r="6" spans="1:7" x14ac:dyDescent="0.25">
      <c r="A6" s="11" t="str">
        <f>HYPERLINK("#'Sheet6'!A1","1805")</f>
        <v>1805</v>
      </c>
      <c r="B6" s="2">
        <v>43271</v>
      </c>
      <c r="C6" s="10" t="s">
        <v>16</v>
      </c>
      <c r="D6" t="s">
        <v>42</v>
      </c>
    </row>
    <row r="7" spans="1:7" x14ac:dyDescent="0.25">
      <c r="A7">
        <v>1806</v>
      </c>
      <c r="B7" s="2">
        <v>43293</v>
      </c>
      <c r="C7" s="10" t="s">
        <v>16</v>
      </c>
      <c r="D7" t="s">
        <v>29</v>
      </c>
      <c r="E7" t="s">
        <v>87</v>
      </c>
    </row>
    <row r="8" spans="1:7" x14ac:dyDescent="0.25">
      <c r="A8" s="11" t="str">
        <f>HYPERLINK("#'Sheet8'!A1","1902")</f>
        <v>1902</v>
      </c>
      <c r="B8" s="2">
        <v>43531</v>
      </c>
      <c r="C8" s="10" t="s">
        <v>141</v>
      </c>
      <c r="D8" t="s">
        <v>29</v>
      </c>
    </row>
    <row r="9" spans="1:7" x14ac:dyDescent="0.25">
      <c r="A9" s="11" t="str">
        <f>HYPERLINK("#'Sheet9'!A1","1808")</f>
        <v>1808</v>
      </c>
      <c r="B9" s="2">
        <v>43350</v>
      </c>
      <c r="C9" s="10" t="s">
        <v>16</v>
      </c>
      <c r="D9" t="s">
        <v>29</v>
      </c>
    </row>
    <row r="10" spans="1:7" x14ac:dyDescent="0.25">
      <c r="A10" s="11" t="str">
        <f>HYPERLINK("#'Sheet10'!A1","1809")</f>
        <v>1809</v>
      </c>
      <c r="B10" s="2">
        <v>43392</v>
      </c>
      <c r="C10" s="10" t="s">
        <v>16</v>
      </c>
      <c r="D10" t="s">
        <v>29</v>
      </c>
    </row>
    <row r="11" spans="1:7" x14ac:dyDescent="0.25">
      <c r="A11" s="11" t="str">
        <f>HYPERLINK("#'Sheet11'!A1","1810")</f>
        <v>1810</v>
      </c>
      <c r="B11" s="2">
        <v>43411</v>
      </c>
      <c r="C11" s="10" t="s">
        <v>16</v>
      </c>
      <c r="D11" t="s">
        <v>29</v>
      </c>
    </row>
    <row r="12" spans="1:7" x14ac:dyDescent="0.25">
      <c r="A12" s="11" t="str">
        <f>HYPERLINK("#'Sheet12'!A1","1811")</f>
        <v>1811</v>
      </c>
      <c r="B12" s="2">
        <v>43439</v>
      </c>
      <c r="C12" s="10" t="s">
        <v>16</v>
      </c>
      <c r="D12" t="s">
        <v>29</v>
      </c>
    </row>
    <row r="13" spans="1:7" x14ac:dyDescent="0.25">
      <c r="A13" s="11" t="str">
        <f>HYPERLINK("#'Sheet13'!A1","1901")</f>
        <v>1901</v>
      </c>
      <c r="B13" s="2">
        <v>43499</v>
      </c>
      <c r="C13" s="10" t="s">
        <v>91</v>
      </c>
      <c r="D13" t="s">
        <v>129</v>
      </c>
    </row>
    <row r="14" spans="1:7" x14ac:dyDescent="0.25">
      <c r="A14" s="11">
        <v>1902</v>
      </c>
      <c r="B14" s="2">
        <v>43526</v>
      </c>
      <c r="C14" s="10" t="s">
        <v>141</v>
      </c>
      <c r="D14" t="s">
        <v>29</v>
      </c>
    </row>
    <row r="15" spans="1:7" x14ac:dyDescent="0.25">
      <c r="A15" s="11" t="str">
        <f>HYPERLINK("#'Sheet15'!A1","1906")</f>
        <v>1906</v>
      </c>
      <c r="B15" s="2">
        <v>43654</v>
      </c>
      <c r="C15" s="10" t="s">
        <v>141</v>
      </c>
      <c r="D15" t="s">
        <v>29</v>
      </c>
    </row>
    <row r="16" spans="1:7" x14ac:dyDescent="0.25">
      <c r="A16" s="11" t="str">
        <f>HYPERLINK("#'Sheet16'!A1","1904")</f>
        <v>1904</v>
      </c>
      <c r="B16" s="2">
        <v>43630</v>
      </c>
      <c r="C16" s="10" t="s">
        <v>16</v>
      </c>
      <c r="D16" t="s">
        <v>134</v>
      </c>
    </row>
    <row r="17" spans="1:5" x14ac:dyDescent="0.25">
      <c r="A17" s="11" t="str">
        <f>HYPERLINK("#'Sheet17'!A1","1905")</f>
        <v>1905</v>
      </c>
      <c r="B17" s="2">
        <v>43630</v>
      </c>
      <c r="C17" s="10" t="s">
        <v>16</v>
      </c>
      <c r="D17" t="s">
        <v>134</v>
      </c>
    </row>
    <row r="18" spans="1:5" x14ac:dyDescent="0.25">
      <c r="A18">
        <v>1906</v>
      </c>
      <c r="B18" s="2">
        <v>43654</v>
      </c>
      <c r="C18" s="10" t="s">
        <v>141</v>
      </c>
      <c r="D18" t="s">
        <v>29</v>
      </c>
      <c r="E18" t="s">
        <v>153</v>
      </c>
    </row>
    <row r="19" spans="1:5" x14ac:dyDescent="0.25">
      <c r="A19">
        <v>1907</v>
      </c>
      <c r="B19" s="2">
        <v>43700</v>
      </c>
      <c r="C19" s="10" t="s">
        <v>154</v>
      </c>
      <c r="D19" t="s">
        <v>29</v>
      </c>
      <c r="E19" t="s">
        <v>155</v>
      </c>
    </row>
  </sheetData>
  <hyperlinks>
    <hyperlink ref="E1" location="TEMPLATE!A1" display="Create a New Flight!"/>
    <hyperlink ref="G1" location="Summary!A1" display="Summary Page"/>
    <hyperlink ref="A3" location="Descoped1802!A1" display="Descoped1802!A1"/>
    <hyperlink ref="A14" location="Sheet13!A1" display="Sheet13!A1"/>
  </hyperlink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topLeftCell="A22" workbookViewId="0">
      <selection activeCell="A31" sqref="A31:XFD50"/>
    </sheetView>
  </sheetViews>
  <sheetFormatPr defaultColWidth="8.85546875" defaultRowHeight="15" x14ac:dyDescent="0.25"/>
  <cols>
    <col min="1" max="1" width="19.5703125" style="8" bestFit="1" customWidth="1"/>
    <col min="2" max="2" width="11.7109375" bestFit="1" customWidth="1"/>
    <col min="3" max="3" width="9.7109375" customWidth="1"/>
    <col min="4" max="4" width="5" customWidth="1"/>
    <col min="5" max="5" width="7.42578125" customWidth="1"/>
  </cols>
  <sheetData>
    <row r="1" spans="1:6" x14ac:dyDescent="0.25">
      <c r="A1" s="8" t="s">
        <v>20</v>
      </c>
      <c r="B1" t="s">
        <v>49</v>
      </c>
      <c r="C1" t="s">
        <v>50</v>
      </c>
      <c r="D1" t="s">
        <v>51</v>
      </c>
      <c r="F1" s="5" t="s">
        <v>3</v>
      </c>
    </row>
    <row r="2" spans="1:6" x14ac:dyDescent="0.25">
      <c r="A2" s="8" t="s">
        <v>21</v>
      </c>
      <c r="B2">
        <v>2</v>
      </c>
      <c r="C2">
        <v>2.5</v>
      </c>
      <c r="D2">
        <v>5</v>
      </c>
    </row>
    <row r="3" spans="1:6" x14ac:dyDescent="0.25">
      <c r="A3" s="8" t="s">
        <v>22</v>
      </c>
      <c r="B3">
        <v>1</v>
      </c>
      <c r="C3">
        <v>2</v>
      </c>
      <c r="D3">
        <v>2</v>
      </c>
    </row>
    <row r="4" spans="1:6" x14ac:dyDescent="0.25">
      <c r="A4" s="8" t="s">
        <v>23</v>
      </c>
      <c r="B4">
        <v>2</v>
      </c>
      <c r="C4">
        <v>2</v>
      </c>
      <c r="D4">
        <v>4</v>
      </c>
    </row>
    <row r="5" spans="1:6" x14ac:dyDescent="0.25">
      <c r="A5" s="8" t="s">
        <v>24</v>
      </c>
      <c r="B5">
        <v>2</v>
      </c>
      <c r="C5">
        <v>3</v>
      </c>
      <c r="D5">
        <v>6</v>
      </c>
    </row>
    <row r="6" spans="1:6" x14ac:dyDescent="0.25">
      <c r="A6" s="8" t="s">
        <v>25</v>
      </c>
      <c r="B6">
        <v>1</v>
      </c>
      <c r="C6">
        <v>2</v>
      </c>
      <c r="D6">
        <v>2</v>
      </c>
    </row>
    <row r="7" spans="1:6" x14ac:dyDescent="0.25">
      <c r="A7" s="8" t="s">
        <v>26</v>
      </c>
      <c r="B7">
        <v>2</v>
      </c>
      <c r="C7">
        <v>1.5</v>
      </c>
      <c r="D7">
        <v>3</v>
      </c>
    </row>
    <row r="8" spans="1:6" x14ac:dyDescent="0.25">
      <c r="A8" s="8" t="s">
        <v>27</v>
      </c>
      <c r="B8">
        <v>1</v>
      </c>
      <c r="C8">
        <v>2</v>
      </c>
      <c r="D8">
        <v>2</v>
      </c>
    </row>
    <row r="9" spans="1:6" x14ac:dyDescent="0.25">
      <c r="A9" s="8" t="s">
        <v>28</v>
      </c>
      <c r="B9">
        <v>2</v>
      </c>
      <c r="C9">
        <v>2.5</v>
      </c>
      <c r="D9">
        <v>5</v>
      </c>
    </row>
    <row r="10" spans="1:6" x14ac:dyDescent="0.25">
      <c r="A10" s="8" t="s">
        <v>19</v>
      </c>
      <c r="B10">
        <v>1</v>
      </c>
      <c r="C10">
        <v>3</v>
      </c>
      <c r="D10">
        <v>3</v>
      </c>
    </row>
    <row r="11" spans="1:6" x14ac:dyDescent="0.25">
      <c r="A11" s="8" t="s">
        <v>29</v>
      </c>
      <c r="B11">
        <v>1</v>
      </c>
      <c r="C11">
        <v>5</v>
      </c>
      <c r="D11">
        <v>5</v>
      </c>
    </row>
    <row r="12" spans="1:6" x14ac:dyDescent="0.25">
      <c r="A12" s="8" t="s">
        <v>30</v>
      </c>
      <c r="B12">
        <v>1</v>
      </c>
      <c r="C12">
        <v>2</v>
      </c>
      <c r="D12">
        <v>2</v>
      </c>
    </row>
    <row r="13" spans="1:6" x14ac:dyDescent="0.25">
      <c r="A13" s="8" t="s">
        <v>31</v>
      </c>
      <c r="B13">
        <v>2</v>
      </c>
      <c r="C13">
        <v>2.5</v>
      </c>
      <c r="D13">
        <v>5</v>
      </c>
    </row>
    <row r="14" spans="1:6" x14ac:dyDescent="0.25">
      <c r="A14" s="8" t="s">
        <v>32</v>
      </c>
      <c r="B14">
        <v>4</v>
      </c>
      <c r="C14">
        <v>1.75</v>
      </c>
      <c r="D14">
        <v>7</v>
      </c>
    </row>
    <row r="15" spans="1:6" x14ac:dyDescent="0.25">
      <c r="A15" s="8" t="s">
        <v>33</v>
      </c>
      <c r="B15">
        <v>1</v>
      </c>
      <c r="C15">
        <v>3</v>
      </c>
      <c r="D15">
        <v>3</v>
      </c>
    </row>
    <row r="16" spans="1:6" x14ac:dyDescent="0.25">
      <c r="A16" s="8" t="s">
        <v>34</v>
      </c>
      <c r="B16">
        <v>3</v>
      </c>
      <c r="C16">
        <v>2</v>
      </c>
      <c r="D16">
        <v>6</v>
      </c>
    </row>
    <row r="17" spans="1:4" x14ac:dyDescent="0.25">
      <c r="A17" s="8" t="s">
        <v>35</v>
      </c>
      <c r="B17">
        <v>1</v>
      </c>
      <c r="C17">
        <v>3</v>
      </c>
      <c r="D17">
        <v>3</v>
      </c>
    </row>
    <row r="18" spans="1:4" x14ac:dyDescent="0.25">
      <c r="A18" s="8" t="s">
        <v>36</v>
      </c>
      <c r="B18">
        <v>1</v>
      </c>
      <c r="C18">
        <v>2</v>
      </c>
      <c r="D18">
        <v>2</v>
      </c>
    </row>
    <row r="19" spans="1:4" x14ac:dyDescent="0.25">
      <c r="A19" s="8" t="s">
        <v>37</v>
      </c>
      <c r="B19">
        <v>1</v>
      </c>
      <c r="C19">
        <v>3</v>
      </c>
      <c r="D19">
        <v>3</v>
      </c>
    </row>
    <row r="20" spans="1:4" x14ac:dyDescent="0.25">
      <c r="A20" s="8" t="s">
        <v>38</v>
      </c>
      <c r="B20">
        <v>2</v>
      </c>
      <c r="C20">
        <v>2</v>
      </c>
      <c r="D20">
        <v>4</v>
      </c>
    </row>
    <row r="21" spans="1:4" x14ac:dyDescent="0.25">
      <c r="A21" s="8" t="s">
        <v>39</v>
      </c>
      <c r="B21">
        <v>1</v>
      </c>
      <c r="C21">
        <v>2</v>
      </c>
      <c r="D21">
        <v>2</v>
      </c>
    </row>
    <row r="22" spans="1:4" x14ac:dyDescent="0.25">
      <c r="A22" s="8" t="s">
        <v>40</v>
      </c>
      <c r="B22">
        <v>2</v>
      </c>
      <c r="C22">
        <v>2</v>
      </c>
      <c r="D22">
        <v>4</v>
      </c>
    </row>
    <row r="23" spans="1:4" x14ac:dyDescent="0.25">
      <c r="A23" s="8" t="s">
        <v>41</v>
      </c>
      <c r="B23">
        <v>1</v>
      </c>
      <c r="C23">
        <v>3</v>
      </c>
      <c r="D23">
        <v>3</v>
      </c>
    </row>
    <row r="24" spans="1:4" x14ac:dyDescent="0.25">
      <c r="A24" s="8" t="s">
        <v>42</v>
      </c>
      <c r="B24">
        <v>1</v>
      </c>
      <c r="C24">
        <v>5</v>
      </c>
      <c r="D24">
        <v>5</v>
      </c>
    </row>
    <row r="25" spans="1:4" x14ac:dyDescent="0.25">
      <c r="A25" s="8" t="s">
        <v>43</v>
      </c>
      <c r="B25">
        <v>1</v>
      </c>
      <c r="C25">
        <v>3</v>
      </c>
      <c r="D25">
        <v>3</v>
      </c>
    </row>
    <row r="26" spans="1:4" x14ac:dyDescent="0.25">
      <c r="A26" s="8" t="s">
        <v>44</v>
      </c>
      <c r="B26">
        <v>1</v>
      </c>
      <c r="C26">
        <v>3</v>
      </c>
      <c r="D26">
        <v>3</v>
      </c>
    </row>
    <row r="27" spans="1:4" x14ac:dyDescent="0.25">
      <c r="A27" s="8" t="s">
        <v>45</v>
      </c>
      <c r="B27">
        <v>1</v>
      </c>
      <c r="C27">
        <v>3</v>
      </c>
      <c r="D27">
        <v>3</v>
      </c>
    </row>
    <row r="28" spans="1:4" x14ac:dyDescent="0.25">
      <c r="A28" s="8" t="s">
        <v>46</v>
      </c>
      <c r="B28">
        <v>1</v>
      </c>
      <c r="C28">
        <v>8</v>
      </c>
      <c r="D28">
        <v>8</v>
      </c>
    </row>
    <row r="29" spans="1:4" x14ac:dyDescent="0.25">
      <c r="A29" s="8" t="s">
        <v>47</v>
      </c>
      <c r="B29">
        <v>1</v>
      </c>
      <c r="C29">
        <v>3</v>
      </c>
      <c r="D29">
        <v>3</v>
      </c>
    </row>
    <row r="30" spans="1:4" x14ac:dyDescent="0.25">
      <c r="A30" s="8" t="s">
        <v>48</v>
      </c>
      <c r="B30">
        <v>1</v>
      </c>
      <c r="C30">
        <v>8</v>
      </c>
      <c r="D30">
        <v>8</v>
      </c>
    </row>
  </sheetData>
  <hyperlinks>
    <hyperlink ref="F1" location="Summary!A1" display="Summary Page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7"/>
  <sheetViews>
    <sheetView workbookViewId="0">
      <selection activeCell="G38" sqref="G38"/>
    </sheetView>
  </sheetViews>
  <sheetFormatPr defaultRowHeight="15" x14ac:dyDescent="0.25"/>
  <cols>
    <col min="1" max="1" width="19.5703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52</v>
      </c>
      <c r="B2">
        <v>2</v>
      </c>
      <c r="C2">
        <v>2</v>
      </c>
      <c r="D2">
        <v>4</v>
      </c>
    </row>
    <row r="3" spans="1:8" x14ac:dyDescent="0.25">
      <c r="A3" t="s">
        <v>53</v>
      </c>
      <c r="B3">
        <v>2</v>
      </c>
      <c r="C3">
        <v>2.5</v>
      </c>
      <c r="D3">
        <v>5</v>
      </c>
    </row>
    <row r="4" spans="1:8" x14ac:dyDescent="0.25">
      <c r="A4" t="s">
        <v>54</v>
      </c>
      <c r="B4">
        <v>1</v>
      </c>
      <c r="C4">
        <v>3</v>
      </c>
      <c r="D4">
        <v>3</v>
      </c>
    </row>
    <row r="5" spans="1:8" x14ac:dyDescent="0.25">
      <c r="A5" t="s">
        <v>55</v>
      </c>
      <c r="B5">
        <v>2</v>
      </c>
      <c r="C5">
        <v>3</v>
      </c>
      <c r="D5">
        <v>6</v>
      </c>
    </row>
    <row r="6" spans="1:8" x14ac:dyDescent="0.25">
      <c r="A6" t="s">
        <v>56</v>
      </c>
      <c r="B6">
        <v>1</v>
      </c>
      <c r="C6">
        <v>3</v>
      </c>
      <c r="D6">
        <v>3</v>
      </c>
    </row>
    <row r="7" spans="1:8" x14ac:dyDescent="0.25">
      <c r="A7" t="s">
        <v>57</v>
      </c>
      <c r="B7">
        <v>1</v>
      </c>
      <c r="C7">
        <v>3</v>
      </c>
      <c r="D7">
        <v>3</v>
      </c>
    </row>
    <row r="8" spans="1:8" x14ac:dyDescent="0.25">
      <c r="A8" t="s">
        <v>58</v>
      </c>
      <c r="B8">
        <v>1</v>
      </c>
      <c r="C8">
        <v>3</v>
      </c>
      <c r="D8">
        <v>3</v>
      </c>
    </row>
    <row r="9" spans="1:8" x14ac:dyDescent="0.25">
      <c r="A9" t="s">
        <v>59</v>
      </c>
      <c r="B9">
        <v>2</v>
      </c>
      <c r="C9">
        <v>3</v>
      </c>
      <c r="D9">
        <v>6</v>
      </c>
    </row>
    <row r="10" spans="1:8" x14ac:dyDescent="0.25">
      <c r="A10" t="s">
        <v>60</v>
      </c>
      <c r="B10">
        <v>5</v>
      </c>
      <c r="C10">
        <v>4.8</v>
      </c>
      <c r="D10">
        <v>24</v>
      </c>
    </row>
    <row r="11" spans="1:8" x14ac:dyDescent="0.25">
      <c r="A11" t="s">
        <v>61</v>
      </c>
      <c r="B11">
        <v>2</v>
      </c>
      <c r="C11">
        <v>6.5</v>
      </c>
      <c r="D11">
        <v>13</v>
      </c>
    </row>
    <row r="12" spans="1:8" x14ac:dyDescent="0.25">
      <c r="A12" t="s">
        <v>62</v>
      </c>
      <c r="B12">
        <v>1</v>
      </c>
      <c r="C12">
        <v>2</v>
      </c>
      <c r="D12">
        <v>2</v>
      </c>
    </row>
    <row r="13" spans="1:8" x14ac:dyDescent="0.25">
      <c r="A13" t="s">
        <v>63</v>
      </c>
      <c r="B13">
        <v>1</v>
      </c>
      <c r="C13">
        <v>5</v>
      </c>
      <c r="D13">
        <v>5</v>
      </c>
    </row>
    <row r="14" spans="1:8" x14ac:dyDescent="0.25">
      <c r="A14" t="s">
        <v>64</v>
      </c>
      <c r="B14">
        <v>1</v>
      </c>
      <c r="C14">
        <v>3</v>
      </c>
      <c r="D14">
        <v>3</v>
      </c>
    </row>
    <row r="15" spans="1:8" x14ac:dyDescent="0.25">
      <c r="A15" t="s">
        <v>65</v>
      </c>
      <c r="B15">
        <v>3</v>
      </c>
      <c r="C15">
        <v>2.3333333333333335</v>
      </c>
      <c r="D15">
        <v>7</v>
      </c>
    </row>
    <row r="16" spans="1:8" x14ac:dyDescent="0.25">
      <c r="A16" t="s">
        <v>66</v>
      </c>
      <c r="B16">
        <v>1</v>
      </c>
      <c r="C16">
        <v>3</v>
      </c>
      <c r="D16">
        <v>3</v>
      </c>
    </row>
    <row r="17" spans="1:4" x14ac:dyDescent="0.25">
      <c r="A17" t="s">
        <v>67</v>
      </c>
      <c r="B17">
        <v>3</v>
      </c>
      <c r="C17">
        <v>2</v>
      </c>
      <c r="D17">
        <v>6</v>
      </c>
    </row>
    <row r="18" spans="1:4" x14ac:dyDescent="0.25">
      <c r="A18" t="s">
        <v>68</v>
      </c>
      <c r="B18">
        <v>1</v>
      </c>
      <c r="C18">
        <v>2</v>
      </c>
      <c r="D18">
        <v>2</v>
      </c>
    </row>
    <row r="19" spans="1:4" x14ac:dyDescent="0.25">
      <c r="A19" t="s">
        <v>69</v>
      </c>
      <c r="B19">
        <v>1</v>
      </c>
      <c r="C19">
        <v>3</v>
      </c>
      <c r="D19">
        <v>3</v>
      </c>
    </row>
    <row r="20" spans="1:4" x14ac:dyDescent="0.25">
      <c r="A20" t="s">
        <v>70</v>
      </c>
      <c r="B20">
        <v>1</v>
      </c>
      <c r="C20">
        <v>5</v>
      </c>
      <c r="D20">
        <v>5</v>
      </c>
    </row>
    <row r="21" spans="1:4" x14ac:dyDescent="0.25">
      <c r="A21" t="s">
        <v>71</v>
      </c>
      <c r="B21">
        <v>1</v>
      </c>
      <c r="C21">
        <v>2</v>
      </c>
      <c r="D21">
        <v>2</v>
      </c>
    </row>
    <row r="22" spans="1:4" x14ac:dyDescent="0.25">
      <c r="A22" t="s">
        <v>72</v>
      </c>
      <c r="B22">
        <v>1</v>
      </c>
      <c r="C22">
        <v>2</v>
      </c>
      <c r="D22">
        <v>2</v>
      </c>
    </row>
    <row r="23" spans="1:4" x14ac:dyDescent="0.25">
      <c r="A23" t="s">
        <v>73</v>
      </c>
      <c r="B23">
        <v>1</v>
      </c>
      <c r="C23">
        <v>3</v>
      </c>
      <c r="D23">
        <v>3</v>
      </c>
    </row>
    <row r="24" spans="1:4" x14ac:dyDescent="0.25">
      <c r="A24" t="s">
        <v>74</v>
      </c>
      <c r="B24">
        <v>3</v>
      </c>
      <c r="C24">
        <v>2</v>
      </c>
      <c r="D24">
        <v>6</v>
      </c>
    </row>
    <row r="25" spans="1:4" x14ac:dyDescent="0.25">
      <c r="A25" t="s">
        <v>75</v>
      </c>
      <c r="B25">
        <v>2</v>
      </c>
      <c r="C25">
        <v>1.5</v>
      </c>
      <c r="D25">
        <v>3</v>
      </c>
    </row>
    <row r="26" spans="1:4" x14ac:dyDescent="0.25">
      <c r="A26" t="s">
        <v>76</v>
      </c>
      <c r="B26">
        <v>1</v>
      </c>
      <c r="C26">
        <v>8</v>
      </c>
      <c r="D26">
        <v>8</v>
      </c>
    </row>
    <row r="27" spans="1:4" x14ac:dyDescent="0.25">
      <c r="A27" t="s">
        <v>77</v>
      </c>
      <c r="B27">
        <v>3</v>
      </c>
      <c r="C27">
        <v>2</v>
      </c>
      <c r="D27"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"/>
  <sheetViews>
    <sheetView workbookViewId="0">
      <selection activeCell="H1" sqref="H1"/>
    </sheetView>
  </sheetViews>
  <sheetFormatPr defaultRowHeight="15" x14ac:dyDescent="0.25"/>
  <cols>
    <col min="1" max="1" width="22.42578125" bestFit="1" customWidth="1"/>
    <col min="2" max="2" width="10.85546875" bestFit="1" customWidth="1"/>
    <col min="3" max="3" width="12" bestFit="1" customWidth="1"/>
    <col min="4" max="4" width="4.8554687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53</v>
      </c>
      <c r="B2">
        <v>2</v>
      </c>
      <c r="C2">
        <v>2.5</v>
      </c>
      <c r="D2">
        <v>5</v>
      </c>
    </row>
    <row r="3" spans="1:8" x14ac:dyDescent="0.25">
      <c r="A3" t="s">
        <v>54</v>
      </c>
      <c r="B3">
        <v>1</v>
      </c>
      <c r="C3">
        <v>3</v>
      </c>
      <c r="D3">
        <v>3</v>
      </c>
    </row>
    <row r="4" spans="1:8" x14ac:dyDescent="0.25">
      <c r="A4" t="s">
        <v>78</v>
      </c>
      <c r="B4">
        <v>3</v>
      </c>
      <c r="C4">
        <v>2.6666666666666665</v>
      </c>
      <c r="D4">
        <v>8</v>
      </c>
    </row>
    <row r="5" spans="1:8" x14ac:dyDescent="0.25">
      <c r="A5" t="s">
        <v>79</v>
      </c>
      <c r="B5">
        <v>1</v>
      </c>
      <c r="C5">
        <v>2</v>
      </c>
      <c r="D5">
        <v>2</v>
      </c>
    </row>
    <row r="6" spans="1:8" x14ac:dyDescent="0.25">
      <c r="A6" t="s">
        <v>55</v>
      </c>
      <c r="B6">
        <v>3</v>
      </c>
      <c r="C6">
        <v>3.3333333333333335</v>
      </c>
      <c r="D6">
        <v>10</v>
      </c>
    </row>
    <row r="7" spans="1:8" x14ac:dyDescent="0.25">
      <c r="A7" t="s">
        <v>56</v>
      </c>
      <c r="B7">
        <v>1</v>
      </c>
      <c r="C7">
        <v>5</v>
      </c>
      <c r="D7">
        <v>5</v>
      </c>
    </row>
    <row r="8" spans="1:8" x14ac:dyDescent="0.25">
      <c r="A8" t="s">
        <v>80</v>
      </c>
      <c r="B8">
        <v>1</v>
      </c>
      <c r="C8">
        <v>2</v>
      </c>
      <c r="D8">
        <v>2</v>
      </c>
    </row>
    <row r="9" spans="1:8" x14ac:dyDescent="0.25">
      <c r="A9" t="s">
        <v>81</v>
      </c>
      <c r="B9">
        <v>1</v>
      </c>
      <c r="C9">
        <v>3</v>
      </c>
      <c r="D9">
        <v>3</v>
      </c>
    </row>
    <row r="10" spans="1:8" x14ac:dyDescent="0.25">
      <c r="A10" t="s">
        <v>59</v>
      </c>
      <c r="B10">
        <v>1</v>
      </c>
      <c r="C10">
        <v>3</v>
      </c>
      <c r="D10">
        <v>3</v>
      </c>
    </row>
    <row r="11" spans="1:8" x14ac:dyDescent="0.25">
      <c r="A11" t="s">
        <v>60</v>
      </c>
      <c r="B11">
        <v>2</v>
      </c>
      <c r="C11">
        <v>3.5</v>
      </c>
      <c r="D11">
        <v>7</v>
      </c>
    </row>
    <row r="12" spans="1:8" x14ac:dyDescent="0.25">
      <c r="A12" t="s">
        <v>61</v>
      </c>
      <c r="B12">
        <v>3</v>
      </c>
      <c r="C12">
        <v>3</v>
      </c>
      <c r="D12">
        <v>9</v>
      </c>
    </row>
    <row r="13" spans="1:8" x14ac:dyDescent="0.25">
      <c r="A13" t="s">
        <v>82</v>
      </c>
      <c r="B13">
        <v>1</v>
      </c>
      <c r="C13">
        <v>5</v>
      </c>
      <c r="D13">
        <v>5</v>
      </c>
    </row>
    <row r="14" spans="1:8" x14ac:dyDescent="0.25">
      <c r="A14" t="s">
        <v>62</v>
      </c>
      <c r="B14">
        <v>1</v>
      </c>
      <c r="C14">
        <v>2</v>
      </c>
      <c r="D14">
        <v>2</v>
      </c>
    </row>
    <row r="15" spans="1:8" x14ac:dyDescent="0.25">
      <c r="A15" t="s">
        <v>83</v>
      </c>
      <c r="B15">
        <v>1</v>
      </c>
      <c r="C15">
        <v>5</v>
      </c>
      <c r="D15">
        <v>5</v>
      </c>
    </row>
    <row r="16" spans="1:8" x14ac:dyDescent="0.25">
      <c r="A16" t="s">
        <v>65</v>
      </c>
      <c r="B16">
        <v>2</v>
      </c>
      <c r="C16">
        <v>2.5</v>
      </c>
      <c r="D16">
        <v>5</v>
      </c>
    </row>
    <row r="17" spans="1:4" x14ac:dyDescent="0.25">
      <c r="A17" t="s">
        <v>84</v>
      </c>
      <c r="B17">
        <v>2</v>
      </c>
      <c r="C17">
        <v>3.5</v>
      </c>
      <c r="D17">
        <v>7</v>
      </c>
    </row>
    <row r="18" spans="1:4" x14ac:dyDescent="0.25">
      <c r="A18" t="s">
        <v>66</v>
      </c>
      <c r="B18">
        <v>1</v>
      </c>
      <c r="C18">
        <v>2</v>
      </c>
      <c r="D18">
        <v>2</v>
      </c>
    </row>
    <row r="19" spans="1:4" x14ac:dyDescent="0.25">
      <c r="A19" t="s">
        <v>67</v>
      </c>
      <c r="B19">
        <v>3</v>
      </c>
      <c r="C19">
        <v>2</v>
      </c>
      <c r="D19">
        <v>6</v>
      </c>
    </row>
    <row r="20" spans="1:4" x14ac:dyDescent="0.25">
      <c r="A20" t="s">
        <v>68</v>
      </c>
      <c r="B20">
        <v>1</v>
      </c>
      <c r="C20">
        <v>3</v>
      </c>
      <c r="D20">
        <v>3</v>
      </c>
    </row>
    <row r="21" spans="1:4" x14ac:dyDescent="0.25">
      <c r="A21" t="s">
        <v>85</v>
      </c>
      <c r="B21">
        <v>1</v>
      </c>
      <c r="C21">
        <v>2</v>
      </c>
      <c r="D21">
        <v>2</v>
      </c>
    </row>
    <row r="22" spans="1:4" x14ac:dyDescent="0.25">
      <c r="A22" t="s">
        <v>69</v>
      </c>
      <c r="B22">
        <v>1</v>
      </c>
      <c r="C22">
        <v>3</v>
      </c>
      <c r="D22">
        <v>3</v>
      </c>
    </row>
    <row r="23" spans="1:4" x14ac:dyDescent="0.25">
      <c r="A23" t="s">
        <v>71</v>
      </c>
      <c r="B23">
        <v>1</v>
      </c>
      <c r="C23">
        <v>2</v>
      </c>
      <c r="D23">
        <v>2</v>
      </c>
    </row>
    <row r="24" spans="1:4" x14ac:dyDescent="0.25">
      <c r="A24" t="s">
        <v>74</v>
      </c>
      <c r="B24">
        <v>3</v>
      </c>
      <c r="C24">
        <v>2</v>
      </c>
      <c r="D24">
        <v>6</v>
      </c>
    </row>
    <row r="25" spans="1:4" x14ac:dyDescent="0.25">
      <c r="A25" t="s">
        <v>76</v>
      </c>
      <c r="B25">
        <v>2</v>
      </c>
      <c r="C25">
        <v>5.5</v>
      </c>
      <c r="D25">
        <v>11</v>
      </c>
    </row>
    <row r="26" spans="1:4" x14ac:dyDescent="0.25">
      <c r="A26" t="s">
        <v>77</v>
      </c>
      <c r="B26">
        <v>1</v>
      </c>
      <c r="C26">
        <v>2</v>
      </c>
      <c r="D26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>
      <selection activeCell="H1" sqref="H1"/>
    </sheetView>
  </sheetViews>
  <sheetFormatPr defaultRowHeight="15" x14ac:dyDescent="0.25"/>
  <cols>
    <col min="1" max="1" width="22.42578125" bestFit="1" customWidth="1"/>
    <col min="2" max="2" width="10.85546875" bestFit="1" customWidth="1"/>
    <col min="3" max="3" width="12" bestFit="1" customWidth="1"/>
    <col min="4" max="4" width="4.8554687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53</v>
      </c>
      <c r="B2">
        <v>1</v>
      </c>
      <c r="C2">
        <v>2</v>
      </c>
      <c r="D2">
        <v>2</v>
      </c>
    </row>
    <row r="3" spans="1:8" x14ac:dyDescent="0.25">
      <c r="A3" t="s">
        <v>54</v>
      </c>
      <c r="B3">
        <v>1</v>
      </c>
      <c r="C3">
        <v>2</v>
      </c>
      <c r="D3">
        <v>2</v>
      </c>
    </row>
    <row r="4" spans="1:8" x14ac:dyDescent="0.25">
      <c r="A4" t="s">
        <v>78</v>
      </c>
      <c r="B4">
        <v>1</v>
      </c>
      <c r="C4">
        <v>3</v>
      </c>
      <c r="D4">
        <v>3</v>
      </c>
    </row>
    <row r="5" spans="1:8" x14ac:dyDescent="0.25">
      <c r="A5" t="s">
        <v>79</v>
      </c>
      <c r="B5">
        <v>1</v>
      </c>
      <c r="C5">
        <v>2</v>
      </c>
      <c r="D5">
        <v>2</v>
      </c>
    </row>
    <row r="6" spans="1:8" x14ac:dyDescent="0.25">
      <c r="A6" t="s">
        <v>55</v>
      </c>
      <c r="B6">
        <v>3</v>
      </c>
      <c r="C6">
        <v>3.3333333333333335</v>
      </c>
      <c r="D6">
        <v>10</v>
      </c>
    </row>
    <row r="7" spans="1:8" x14ac:dyDescent="0.25">
      <c r="A7" t="s">
        <v>56</v>
      </c>
      <c r="B7">
        <v>1</v>
      </c>
      <c r="C7">
        <v>5</v>
      </c>
      <c r="D7">
        <v>5</v>
      </c>
    </row>
    <row r="8" spans="1:8" x14ac:dyDescent="0.25">
      <c r="A8" t="s">
        <v>86</v>
      </c>
      <c r="B8">
        <v>1</v>
      </c>
      <c r="C8">
        <v>2</v>
      </c>
      <c r="D8">
        <v>2</v>
      </c>
    </row>
    <row r="9" spans="1:8" x14ac:dyDescent="0.25">
      <c r="A9" t="s">
        <v>81</v>
      </c>
      <c r="B9">
        <v>1</v>
      </c>
      <c r="C9">
        <v>3</v>
      </c>
      <c r="D9">
        <v>3</v>
      </c>
    </row>
    <row r="10" spans="1:8" x14ac:dyDescent="0.25">
      <c r="A10" t="s">
        <v>60</v>
      </c>
      <c r="B10">
        <v>8</v>
      </c>
      <c r="C10">
        <v>3.125</v>
      </c>
      <c r="D10">
        <v>25</v>
      </c>
    </row>
    <row r="11" spans="1:8" x14ac:dyDescent="0.25">
      <c r="A11" t="s">
        <v>61</v>
      </c>
      <c r="B11">
        <v>1</v>
      </c>
      <c r="C11">
        <v>5</v>
      </c>
      <c r="D11">
        <v>5</v>
      </c>
    </row>
    <row r="12" spans="1:8" x14ac:dyDescent="0.25">
      <c r="A12" t="s">
        <v>82</v>
      </c>
      <c r="B12">
        <v>1</v>
      </c>
      <c r="C12">
        <v>5</v>
      </c>
      <c r="D12">
        <v>5</v>
      </c>
    </row>
    <row r="13" spans="1:8" x14ac:dyDescent="0.25">
      <c r="A13" t="s">
        <v>62</v>
      </c>
      <c r="B13">
        <v>1</v>
      </c>
      <c r="C13">
        <v>2</v>
      </c>
      <c r="D13">
        <v>2</v>
      </c>
    </row>
    <row r="14" spans="1:8" x14ac:dyDescent="0.25">
      <c r="A14" t="s">
        <v>83</v>
      </c>
      <c r="B14">
        <v>1</v>
      </c>
      <c r="C14">
        <v>5</v>
      </c>
      <c r="D14">
        <v>5</v>
      </c>
    </row>
    <row r="15" spans="1:8" x14ac:dyDescent="0.25">
      <c r="A15" t="s">
        <v>65</v>
      </c>
      <c r="B15">
        <v>2</v>
      </c>
      <c r="C15">
        <v>2.5</v>
      </c>
      <c r="D15">
        <v>5</v>
      </c>
    </row>
    <row r="16" spans="1:8" x14ac:dyDescent="0.25">
      <c r="A16" t="s">
        <v>84</v>
      </c>
      <c r="B16">
        <v>2</v>
      </c>
      <c r="C16">
        <v>5</v>
      </c>
      <c r="D16">
        <v>10</v>
      </c>
    </row>
    <row r="17" spans="1:4" x14ac:dyDescent="0.25">
      <c r="A17" t="s">
        <v>67</v>
      </c>
      <c r="B17">
        <v>4</v>
      </c>
      <c r="C17">
        <v>2.25</v>
      </c>
      <c r="D17">
        <v>9</v>
      </c>
    </row>
    <row r="18" spans="1:4" x14ac:dyDescent="0.25">
      <c r="A18" t="s">
        <v>68</v>
      </c>
      <c r="B18">
        <v>1</v>
      </c>
      <c r="C18">
        <v>3</v>
      </c>
      <c r="D18">
        <v>3</v>
      </c>
    </row>
    <row r="19" spans="1:4" x14ac:dyDescent="0.25">
      <c r="A19" t="s">
        <v>85</v>
      </c>
      <c r="B19">
        <v>2</v>
      </c>
      <c r="C19">
        <v>3</v>
      </c>
      <c r="D19">
        <v>6</v>
      </c>
    </row>
    <row r="20" spans="1:4" x14ac:dyDescent="0.25">
      <c r="A20" t="s">
        <v>71</v>
      </c>
      <c r="B20">
        <v>1</v>
      </c>
      <c r="C20">
        <v>2</v>
      </c>
      <c r="D20">
        <v>2</v>
      </c>
    </row>
    <row r="21" spans="1:4" x14ac:dyDescent="0.25">
      <c r="A21" t="s">
        <v>76</v>
      </c>
      <c r="B21">
        <v>2</v>
      </c>
      <c r="C21">
        <v>5.5</v>
      </c>
      <c r="D21">
        <v>11</v>
      </c>
    </row>
    <row r="22" spans="1:4" x14ac:dyDescent="0.25">
      <c r="A22" t="s">
        <v>77</v>
      </c>
      <c r="B22">
        <v>1</v>
      </c>
      <c r="C22">
        <v>2</v>
      </c>
      <c r="D22">
        <v>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>
      <selection activeCell="H1" sqref="H1"/>
    </sheetView>
  </sheetViews>
  <sheetFormatPr defaultRowHeight="15" x14ac:dyDescent="0.25"/>
  <cols>
    <col min="1" max="1" width="24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130</v>
      </c>
      <c r="B2">
        <v>3</v>
      </c>
      <c r="C2">
        <v>2</v>
      </c>
      <c r="D2">
        <v>6</v>
      </c>
    </row>
    <row r="3" spans="1:8" x14ac:dyDescent="0.25">
      <c r="A3" t="s">
        <v>131</v>
      </c>
      <c r="B3">
        <v>3</v>
      </c>
      <c r="C3">
        <v>2</v>
      </c>
      <c r="D3">
        <v>6</v>
      </c>
    </row>
    <row r="4" spans="1:8" x14ac:dyDescent="0.25">
      <c r="A4" t="s">
        <v>25</v>
      </c>
      <c r="B4">
        <v>1</v>
      </c>
      <c r="C4">
        <v>3</v>
      </c>
      <c r="D4">
        <v>3</v>
      </c>
    </row>
    <row r="5" spans="1:8" x14ac:dyDescent="0.25">
      <c r="A5" t="s">
        <v>132</v>
      </c>
      <c r="B5">
        <v>1</v>
      </c>
      <c r="C5">
        <v>2</v>
      </c>
      <c r="D5">
        <v>2</v>
      </c>
    </row>
    <row r="6" spans="1:8" x14ac:dyDescent="0.25">
      <c r="A6" t="s">
        <v>133</v>
      </c>
      <c r="B6">
        <v>1</v>
      </c>
      <c r="C6">
        <v>3</v>
      </c>
      <c r="D6">
        <v>3</v>
      </c>
    </row>
    <row r="7" spans="1:8" x14ac:dyDescent="0.25">
      <c r="A7" t="s">
        <v>30</v>
      </c>
      <c r="B7">
        <v>1</v>
      </c>
      <c r="C7">
        <v>3</v>
      </c>
      <c r="D7">
        <v>3</v>
      </c>
    </row>
    <row r="8" spans="1:8" x14ac:dyDescent="0.25">
      <c r="A8" t="s">
        <v>134</v>
      </c>
      <c r="B8">
        <v>1</v>
      </c>
      <c r="C8">
        <v>2</v>
      </c>
      <c r="D8">
        <v>2</v>
      </c>
    </row>
    <row r="9" spans="1:8" x14ac:dyDescent="0.25">
      <c r="A9" t="s">
        <v>135</v>
      </c>
      <c r="B9">
        <v>1</v>
      </c>
      <c r="C9">
        <v>2</v>
      </c>
      <c r="D9">
        <v>2</v>
      </c>
    </row>
    <row r="10" spans="1:8" x14ac:dyDescent="0.25">
      <c r="A10" t="s">
        <v>136</v>
      </c>
      <c r="B10">
        <v>1</v>
      </c>
      <c r="C10">
        <v>2</v>
      </c>
      <c r="D10">
        <v>2</v>
      </c>
    </row>
    <row r="11" spans="1:8" x14ac:dyDescent="0.25">
      <c r="A11" t="s">
        <v>137</v>
      </c>
      <c r="B11">
        <v>2</v>
      </c>
      <c r="C11">
        <v>2</v>
      </c>
      <c r="D11">
        <v>4</v>
      </c>
    </row>
    <row r="12" spans="1:8" x14ac:dyDescent="0.25">
      <c r="A12" t="s">
        <v>138</v>
      </c>
      <c r="B12">
        <v>1</v>
      </c>
      <c r="C12">
        <v>2</v>
      </c>
      <c r="D12">
        <v>2</v>
      </c>
    </row>
    <row r="13" spans="1:8" x14ac:dyDescent="0.25">
      <c r="A13" t="s">
        <v>139</v>
      </c>
      <c r="B13">
        <v>1</v>
      </c>
      <c r="C13">
        <v>3</v>
      </c>
      <c r="D13">
        <v>3</v>
      </c>
    </row>
    <row r="14" spans="1:8" x14ac:dyDescent="0.25">
      <c r="A14" t="s">
        <v>140</v>
      </c>
      <c r="B14">
        <v>2</v>
      </c>
      <c r="C14">
        <v>2</v>
      </c>
      <c r="D14">
        <v>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H1" sqref="H1"/>
    </sheetView>
  </sheetViews>
  <sheetFormatPr defaultRowHeight="15" x14ac:dyDescent="0.25"/>
  <cols>
    <col min="1" max="1" width="19.57031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54</v>
      </c>
      <c r="B2">
        <v>1</v>
      </c>
      <c r="C2">
        <v>3</v>
      </c>
      <c r="D2">
        <v>3</v>
      </c>
    </row>
    <row r="3" spans="1:8" x14ac:dyDescent="0.25">
      <c r="A3" t="s">
        <v>88</v>
      </c>
      <c r="B3">
        <v>1</v>
      </c>
      <c r="C3">
        <v>5</v>
      </c>
      <c r="D3">
        <v>5</v>
      </c>
    </row>
    <row r="4" spans="1:8" x14ac:dyDescent="0.25">
      <c r="A4" t="s">
        <v>89</v>
      </c>
      <c r="B4">
        <v>1</v>
      </c>
      <c r="C4">
        <v>3</v>
      </c>
      <c r="D4">
        <v>3</v>
      </c>
    </row>
    <row r="5" spans="1:8" x14ac:dyDescent="0.25">
      <c r="A5" t="s">
        <v>55</v>
      </c>
      <c r="B5">
        <v>11</v>
      </c>
      <c r="C5">
        <v>4.4545454545454541</v>
      </c>
      <c r="D5">
        <v>48.999999999999993</v>
      </c>
    </row>
    <row r="6" spans="1:8" x14ac:dyDescent="0.25">
      <c r="A6" t="s">
        <v>92</v>
      </c>
      <c r="B6">
        <v>1</v>
      </c>
      <c r="C6">
        <v>2</v>
      </c>
      <c r="D6">
        <v>2</v>
      </c>
    </row>
    <row r="7" spans="1:8" x14ac:dyDescent="0.25">
      <c r="A7" t="s">
        <v>61</v>
      </c>
      <c r="B7">
        <v>2</v>
      </c>
      <c r="C7">
        <v>5</v>
      </c>
      <c r="D7">
        <v>10</v>
      </c>
    </row>
    <row r="8" spans="1:8" x14ac:dyDescent="0.25">
      <c r="A8" t="s">
        <v>93</v>
      </c>
      <c r="B8">
        <v>1</v>
      </c>
      <c r="C8">
        <v>2</v>
      </c>
      <c r="D8">
        <v>2</v>
      </c>
    </row>
    <row r="9" spans="1:8" x14ac:dyDescent="0.25">
      <c r="A9" t="s">
        <v>94</v>
      </c>
      <c r="B9">
        <v>1</v>
      </c>
      <c r="C9">
        <v>2</v>
      </c>
      <c r="D9">
        <v>2</v>
      </c>
    </row>
    <row r="10" spans="1:8" x14ac:dyDescent="0.25">
      <c r="A10" t="s">
        <v>66</v>
      </c>
      <c r="B10">
        <v>1</v>
      </c>
      <c r="C10">
        <v>2</v>
      </c>
      <c r="D10">
        <v>2</v>
      </c>
    </row>
    <row r="11" spans="1:8" x14ac:dyDescent="0.25">
      <c r="A11" t="s">
        <v>95</v>
      </c>
      <c r="B11">
        <v>1</v>
      </c>
      <c r="C11">
        <v>5</v>
      </c>
      <c r="D11">
        <v>5</v>
      </c>
    </row>
    <row r="12" spans="1:8" x14ac:dyDescent="0.25">
      <c r="A12" t="s">
        <v>90</v>
      </c>
      <c r="B12">
        <v>1</v>
      </c>
      <c r="C12">
        <v>2</v>
      </c>
      <c r="D12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H29" sqref="H29"/>
    </sheetView>
  </sheetViews>
  <sheetFormatPr defaultRowHeight="15" x14ac:dyDescent="0.25"/>
  <cols>
    <col min="1" max="1" width="16.1406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88</v>
      </c>
      <c r="B2">
        <v>1</v>
      </c>
      <c r="C2">
        <v>1</v>
      </c>
      <c r="D2">
        <v>1</v>
      </c>
    </row>
    <row r="3" spans="1:8" x14ac:dyDescent="0.25">
      <c r="A3" t="s">
        <v>89</v>
      </c>
      <c r="B3">
        <v>1</v>
      </c>
      <c r="C3">
        <v>3</v>
      </c>
      <c r="D3">
        <v>3</v>
      </c>
    </row>
    <row r="4" spans="1:8" x14ac:dyDescent="0.25">
      <c r="A4" t="s">
        <v>55</v>
      </c>
      <c r="B4">
        <v>1</v>
      </c>
      <c r="C4">
        <v>5</v>
      </c>
      <c r="D4">
        <v>5</v>
      </c>
    </row>
    <row r="5" spans="1:8" x14ac:dyDescent="0.25">
      <c r="A5" t="s">
        <v>92</v>
      </c>
      <c r="B5">
        <v>1</v>
      </c>
      <c r="C5">
        <v>2</v>
      </c>
      <c r="D5">
        <v>2</v>
      </c>
    </row>
    <row r="6" spans="1:8" x14ac:dyDescent="0.25">
      <c r="A6" t="s">
        <v>96</v>
      </c>
      <c r="B6">
        <v>1</v>
      </c>
      <c r="C6">
        <v>2</v>
      </c>
      <c r="D6">
        <v>2</v>
      </c>
    </row>
    <row r="7" spans="1:8" x14ac:dyDescent="0.25">
      <c r="A7" t="s">
        <v>97</v>
      </c>
      <c r="B7">
        <v>1</v>
      </c>
      <c r="C7">
        <v>2</v>
      </c>
      <c r="D7">
        <v>2</v>
      </c>
    </row>
    <row r="8" spans="1:8" x14ac:dyDescent="0.25">
      <c r="A8" t="s">
        <v>66</v>
      </c>
      <c r="B8">
        <v>3</v>
      </c>
      <c r="C8">
        <v>3</v>
      </c>
      <c r="D8">
        <v>9</v>
      </c>
    </row>
    <row r="9" spans="1:8" x14ac:dyDescent="0.25">
      <c r="A9" t="s">
        <v>72</v>
      </c>
      <c r="B9">
        <v>2</v>
      </c>
      <c r="C9">
        <v>2.5</v>
      </c>
      <c r="D9">
        <v>5</v>
      </c>
    </row>
    <row r="10" spans="1:8" x14ac:dyDescent="0.25">
      <c r="A10" t="s">
        <v>98</v>
      </c>
      <c r="B10">
        <v>1</v>
      </c>
      <c r="C10">
        <v>2</v>
      </c>
      <c r="D10">
        <v>2</v>
      </c>
    </row>
    <row r="11" spans="1:8" x14ac:dyDescent="0.25">
      <c r="A11" t="s">
        <v>90</v>
      </c>
      <c r="B11">
        <v>1</v>
      </c>
      <c r="C11">
        <v>2</v>
      </c>
      <c r="D1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1"/>
  <sheetViews>
    <sheetView workbookViewId="0">
      <selection activeCell="H1" sqref="H1"/>
    </sheetView>
  </sheetViews>
  <sheetFormatPr defaultRowHeight="15" x14ac:dyDescent="0.25"/>
  <cols>
    <col min="1" max="1" width="17.28515625" bestFit="1" customWidth="1"/>
    <col min="2" max="2" width="11.7109375" bestFit="1" customWidth="1"/>
    <col min="3" max="3" width="12" bestFit="1" customWidth="1"/>
    <col min="4" max="4" width="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88</v>
      </c>
      <c r="B2">
        <v>1</v>
      </c>
      <c r="C2">
        <v>1</v>
      </c>
      <c r="D2">
        <v>1</v>
      </c>
    </row>
    <row r="3" spans="1:8" x14ac:dyDescent="0.25">
      <c r="A3" t="s">
        <v>99</v>
      </c>
      <c r="B3">
        <v>1</v>
      </c>
      <c r="C3">
        <v>2</v>
      </c>
      <c r="D3">
        <v>2</v>
      </c>
    </row>
    <row r="4" spans="1:8" x14ac:dyDescent="0.25">
      <c r="A4" t="s">
        <v>89</v>
      </c>
      <c r="B4">
        <v>2</v>
      </c>
      <c r="C4">
        <v>3</v>
      </c>
      <c r="D4">
        <v>6</v>
      </c>
    </row>
    <row r="5" spans="1:8" x14ac:dyDescent="0.25">
      <c r="A5" t="s">
        <v>55</v>
      </c>
      <c r="B5">
        <v>1</v>
      </c>
      <c r="C5">
        <v>5</v>
      </c>
      <c r="D5">
        <v>5</v>
      </c>
    </row>
    <row r="6" spans="1:8" x14ac:dyDescent="0.25">
      <c r="A6" t="s">
        <v>92</v>
      </c>
      <c r="B6">
        <v>1</v>
      </c>
      <c r="C6">
        <v>2</v>
      </c>
      <c r="D6">
        <v>2</v>
      </c>
    </row>
    <row r="7" spans="1:8" x14ac:dyDescent="0.25">
      <c r="A7" t="s">
        <v>100</v>
      </c>
      <c r="B7">
        <v>1</v>
      </c>
      <c r="C7">
        <v>2</v>
      </c>
      <c r="D7">
        <v>2</v>
      </c>
    </row>
    <row r="8" spans="1:8" x14ac:dyDescent="0.25">
      <c r="A8" t="s">
        <v>81</v>
      </c>
      <c r="B8">
        <v>1</v>
      </c>
      <c r="C8">
        <v>1</v>
      </c>
      <c r="D8">
        <v>1</v>
      </c>
    </row>
    <row r="9" spans="1:8" x14ac:dyDescent="0.25">
      <c r="A9" t="s">
        <v>101</v>
      </c>
      <c r="B9">
        <v>2</v>
      </c>
      <c r="C9">
        <v>2</v>
      </c>
      <c r="D9">
        <v>4</v>
      </c>
    </row>
    <row r="10" spans="1:8" x14ac:dyDescent="0.25">
      <c r="A10" t="s">
        <v>102</v>
      </c>
      <c r="B10">
        <v>1</v>
      </c>
      <c r="C10">
        <v>2</v>
      </c>
      <c r="D10">
        <v>2</v>
      </c>
    </row>
    <row r="11" spans="1:8" x14ac:dyDescent="0.25">
      <c r="A11" t="s">
        <v>103</v>
      </c>
      <c r="B11">
        <v>2</v>
      </c>
      <c r="C11">
        <v>2</v>
      </c>
      <c r="D11">
        <v>4</v>
      </c>
    </row>
    <row r="12" spans="1:8" x14ac:dyDescent="0.25">
      <c r="A12" t="s">
        <v>104</v>
      </c>
      <c r="B12">
        <v>1</v>
      </c>
      <c r="C12">
        <v>2</v>
      </c>
      <c r="D12">
        <v>2</v>
      </c>
    </row>
    <row r="13" spans="1:8" x14ac:dyDescent="0.25">
      <c r="A13" t="s">
        <v>105</v>
      </c>
      <c r="B13">
        <v>1</v>
      </c>
      <c r="C13">
        <v>2</v>
      </c>
      <c r="D13">
        <v>2</v>
      </c>
    </row>
    <row r="14" spans="1:8" x14ac:dyDescent="0.25">
      <c r="A14" t="s">
        <v>61</v>
      </c>
      <c r="B14">
        <v>1</v>
      </c>
      <c r="C14">
        <v>1</v>
      </c>
      <c r="D14">
        <v>1</v>
      </c>
    </row>
    <row r="15" spans="1:8" x14ac:dyDescent="0.25">
      <c r="A15" t="s">
        <v>106</v>
      </c>
      <c r="B15">
        <v>2</v>
      </c>
      <c r="C15">
        <v>3</v>
      </c>
      <c r="D15">
        <v>6</v>
      </c>
    </row>
    <row r="16" spans="1:8" x14ac:dyDescent="0.25">
      <c r="A16" t="s">
        <v>82</v>
      </c>
      <c r="B16">
        <v>1</v>
      </c>
      <c r="C16">
        <v>3</v>
      </c>
      <c r="D16">
        <v>3</v>
      </c>
    </row>
    <row r="17" spans="1:4" x14ac:dyDescent="0.25">
      <c r="A17" t="s">
        <v>96</v>
      </c>
      <c r="B17">
        <v>1</v>
      </c>
      <c r="C17">
        <v>2</v>
      </c>
      <c r="D17">
        <v>2</v>
      </c>
    </row>
    <row r="18" spans="1:4" x14ac:dyDescent="0.25">
      <c r="A18" t="s">
        <v>107</v>
      </c>
      <c r="B18">
        <v>1</v>
      </c>
      <c r="C18">
        <v>3</v>
      </c>
      <c r="D18">
        <v>3</v>
      </c>
    </row>
    <row r="19" spans="1:4" x14ac:dyDescent="0.25">
      <c r="A19" t="s">
        <v>108</v>
      </c>
      <c r="B19">
        <v>1</v>
      </c>
      <c r="C19">
        <v>1</v>
      </c>
      <c r="D19">
        <v>1</v>
      </c>
    </row>
    <row r="20" spans="1:4" x14ac:dyDescent="0.25">
      <c r="A20" t="s">
        <v>64</v>
      </c>
      <c r="B20">
        <v>1</v>
      </c>
      <c r="C20">
        <v>5</v>
      </c>
      <c r="D20">
        <v>5</v>
      </c>
    </row>
    <row r="21" spans="1:4" x14ac:dyDescent="0.25">
      <c r="A21" t="s">
        <v>109</v>
      </c>
      <c r="B21">
        <v>3</v>
      </c>
      <c r="C21">
        <v>3.3333333333333335</v>
      </c>
      <c r="D21">
        <v>10</v>
      </c>
    </row>
    <row r="22" spans="1:4" x14ac:dyDescent="0.25">
      <c r="A22" t="s">
        <v>97</v>
      </c>
      <c r="B22">
        <v>2</v>
      </c>
      <c r="C22">
        <v>3.5</v>
      </c>
      <c r="D22">
        <v>7</v>
      </c>
    </row>
    <row r="23" spans="1:4" x14ac:dyDescent="0.25">
      <c r="A23" t="s">
        <v>83</v>
      </c>
      <c r="B23">
        <v>2</v>
      </c>
      <c r="C23">
        <v>3</v>
      </c>
      <c r="D23">
        <v>6</v>
      </c>
    </row>
    <row r="24" spans="1:4" x14ac:dyDescent="0.25">
      <c r="A24" t="s">
        <v>110</v>
      </c>
      <c r="B24">
        <v>1</v>
      </c>
      <c r="C24">
        <v>2</v>
      </c>
      <c r="D24">
        <v>2</v>
      </c>
    </row>
    <row r="25" spans="1:4" x14ac:dyDescent="0.25">
      <c r="A25" t="s">
        <v>66</v>
      </c>
      <c r="B25">
        <v>1</v>
      </c>
      <c r="C25">
        <v>3</v>
      </c>
      <c r="D25">
        <v>3</v>
      </c>
    </row>
    <row r="26" spans="1:4" x14ac:dyDescent="0.25">
      <c r="A26" t="s">
        <v>67</v>
      </c>
      <c r="B26">
        <v>1</v>
      </c>
      <c r="C26">
        <v>3</v>
      </c>
      <c r="D26">
        <v>3</v>
      </c>
    </row>
    <row r="27" spans="1:4" x14ac:dyDescent="0.25">
      <c r="A27" t="s">
        <v>72</v>
      </c>
      <c r="B27">
        <v>2</v>
      </c>
      <c r="C27">
        <v>2.5</v>
      </c>
      <c r="D27">
        <v>5</v>
      </c>
    </row>
    <row r="28" spans="1:4" x14ac:dyDescent="0.25">
      <c r="A28" t="s">
        <v>98</v>
      </c>
      <c r="B28">
        <v>1</v>
      </c>
      <c r="C28">
        <v>2</v>
      </c>
      <c r="D28">
        <v>2</v>
      </c>
    </row>
    <row r="29" spans="1:4" x14ac:dyDescent="0.25">
      <c r="A29" t="s">
        <v>111</v>
      </c>
      <c r="B29">
        <v>2</v>
      </c>
      <c r="C29">
        <v>2.5</v>
      </c>
      <c r="D29">
        <v>5</v>
      </c>
    </row>
    <row r="30" spans="1:4" x14ac:dyDescent="0.25">
      <c r="A30" t="s">
        <v>112</v>
      </c>
      <c r="B30">
        <v>1</v>
      </c>
      <c r="C30">
        <v>2</v>
      </c>
      <c r="D30">
        <v>2</v>
      </c>
    </row>
    <row r="31" spans="1:4" x14ac:dyDescent="0.25">
      <c r="A31" t="s">
        <v>90</v>
      </c>
      <c r="B31">
        <v>1</v>
      </c>
      <c r="C31">
        <v>2</v>
      </c>
      <c r="D3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workbookViewId="0"/>
  </sheetViews>
  <sheetFormatPr defaultRowHeight="15" x14ac:dyDescent="0.25"/>
  <cols>
    <col min="1" max="1" width="20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89</v>
      </c>
      <c r="B2">
        <v>1</v>
      </c>
      <c r="C2">
        <v>3</v>
      </c>
      <c r="D2">
        <v>3</v>
      </c>
    </row>
    <row r="3" spans="1:8" x14ac:dyDescent="0.25">
      <c r="A3" t="s">
        <v>55</v>
      </c>
      <c r="B3">
        <v>1</v>
      </c>
      <c r="C3">
        <v>5</v>
      </c>
      <c r="D3">
        <v>5</v>
      </c>
    </row>
    <row r="4" spans="1:8" x14ac:dyDescent="0.25">
      <c r="A4" t="s">
        <v>100</v>
      </c>
      <c r="B4">
        <v>1</v>
      </c>
      <c r="C4">
        <v>2</v>
      </c>
      <c r="D4">
        <v>2</v>
      </c>
    </row>
    <row r="5" spans="1:8" x14ac:dyDescent="0.25">
      <c r="A5" t="s">
        <v>113</v>
      </c>
      <c r="B5">
        <v>1</v>
      </c>
      <c r="C5">
        <v>2</v>
      </c>
      <c r="D5">
        <v>2</v>
      </c>
    </row>
    <row r="6" spans="1:8" x14ac:dyDescent="0.25">
      <c r="A6" t="s">
        <v>102</v>
      </c>
      <c r="B6">
        <v>1</v>
      </c>
      <c r="C6">
        <v>2</v>
      </c>
      <c r="D6">
        <v>2</v>
      </c>
    </row>
    <row r="7" spans="1:8" x14ac:dyDescent="0.25">
      <c r="A7" t="s">
        <v>103</v>
      </c>
      <c r="B7">
        <v>2</v>
      </c>
      <c r="C7">
        <v>2</v>
      </c>
      <c r="D7">
        <v>4</v>
      </c>
    </row>
    <row r="8" spans="1:8" x14ac:dyDescent="0.25">
      <c r="A8" t="s">
        <v>105</v>
      </c>
      <c r="B8">
        <v>1</v>
      </c>
      <c r="C8">
        <v>2</v>
      </c>
      <c r="D8">
        <v>2</v>
      </c>
    </row>
    <row r="9" spans="1:8" x14ac:dyDescent="0.25">
      <c r="A9" t="s">
        <v>61</v>
      </c>
      <c r="B9">
        <v>1</v>
      </c>
      <c r="C9">
        <v>1</v>
      </c>
      <c r="D9">
        <v>1</v>
      </c>
    </row>
    <row r="10" spans="1:8" x14ac:dyDescent="0.25">
      <c r="A10" t="s">
        <v>114</v>
      </c>
      <c r="B10">
        <v>1</v>
      </c>
      <c r="C10">
        <v>5</v>
      </c>
      <c r="D10">
        <v>5</v>
      </c>
    </row>
    <row r="11" spans="1:8" x14ac:dyDescent="0.25">
      <c r="A11" t="s">
        <v>115</v>
      </c>
      <c r="B11">
        <v>1</v>
      </c>
      <c r="C11">
        <v>2</v>
      </c>
      <c r="D11">
        <v>2</v>
      </c>
    </row>
    <row r="12" spans="1:8" x14ac:dyDescent="0.25">
      <c r="A12" t="s">
        <v>106</v>
      </c>
      <c r="B12">
        <v>1</v>
      </c>
      <c r="C12">
        <v>1</v>
      </c>
      <c r="D12">
        <v>1</v>
      </c>
    </row>
    <row r="13" spans="1:8" x14ac:dyDescent="0.25">
      <c r="A13" t="s">
        <v>96</v>
      </c>
      <c r="B13">
        <v>1</v>
      </c>
      <c r="C13">
        <v>2</v>
      </c>
      <c r="D13">
        <v>2</v>
      </c>
    </row>
    <row r="14" spans="1:8" x14ac:dyDescent="0.25">
      <c r="A14" t="s">
        <v>93</v>
      </c>
      <c r="B14">
        <v>1</v>
      </c>
      <c r="C14">
        <v>1</v>
      </c>
      <c r="D14">
        <v>1</v>
      </c>
    </row>
    <row r="15" spans="1:8" x14ac:dyDescent="0.25">
      <c r="A15" t="s">
        <v>108</v>
      </c>
      <c r="B15">
        <v>1</v>
      </c>
      <c r="C15">
        <v>1</v>
      </c>
      <c r="D15">
        <v>1</v>
      </c>
    </row>
    <row r="16" spans="1:8" x14ac:dyDescent="0.25">
      <c r="A16" t="s">
        <v>97</v>
      </c>
      <c r="B16">
        <v>1</v>
      </c>
      <c r="C16">
        <v>5</v>
      </c>
      <c r="D16">
        <v>5</v>
      </c>
    </row>
    <row r="17" spans="1:4" x14ac:dyDescent="0.25">
      <c r="A17" t="s">
        <v>66</v>
      </c>
      <c r="B17">
        <v>1</v>
      </c>
      <c r="C17">
        <v>3</v>
      </c>
      <c r="D17">
        <v>3</v>
      </c>
    </row>
    <row r="18" spans="1:4" x14ac:dyDescent="0.25">
      <c r="A18" t="s">
        <v>98</v>
      </c>
      <c r="B18">
        <v>1</v>
      </c>
      <c r="C18">
        <v>2</v>
      </c>
      <c r="D18">
        <v>2</v>
      </c>
    </row>
    <row r="19" spans="1:4" x14ac:dyDescent="0.25">
      <c r="A19" t="s">
        <v>112</v>
      </c>
      <c r="B19">
        <v>1</v>
      </c>
      <c r="C19">
        <v>2</v>
      </c>
      <c r="D19">
        <v>2</v>
      </c>
    </row>
    <row r="20" spans="1:4" x14ac:dyDescent="0.25">
      <c r="A20" t="s">
        <v>116</v>
      </c>
      <c r="B20">
        <v>1</v>
      </c>
      <c r="C20">
        <v>2</v>
      </c>
      <c r="D20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"/>
  <sheetViews>
    <sheetView workbookViewId="0">
      <selection activeCell="W10" sqref="W10"/>
    </sheetView>
  </sheetViews>
  <sheetFormatPr defaultRowHeight="15" x14ac:dyDescent="0.25"/>
  <cols>
    <col min="1" max="1" width="16.1406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117</v>
      </c>
      <c r="B2">
        <v>1</v>
      </c>
      <c r="C2">
        <v>2</v>
      </c>
      <c r="D2">
        <v>2</v>
      </c>
    </row>
    <row r="3" spans="1:8" x14ac:dyDescent="0.25">
      <c r="A3" t="s">
        <v>118</v>
      </c>
      <c r="B3">
        <v>1</v>
      </c>
      <c r="C3">
        <v>2</v>
      </c>
      <c r="D3">
        <v>2</v>
      </c>
    </row>
    <row r="4" spans="1:8" x14ac:dyDescent="0.25">
      <c r="A4" t="s">
        <v>55</v>
      </c>
      <c r="B4">
        <v>1</v>
      </c>
      <c r="C4">
        <v>3</v>
      </c>
      <c r="D4">
        <v>3</v>
      </c>
    </row>
    <row r="5" spans="1:8" x14ac:dyDescent="0.25">
      <c r="A5" t="s">
        <v>119</v>
      </c>
      <c r="B5">
        <v>1</v>
      </c>
      <c r="C5">
        <v>2</v>
      </c>
      <c r="D5">
        <v>2</v>
      </c>
    </row>
    <row r="6" spans="1:8" x14ac:dyDescent="0.25">
      <c r="A6" t="s">
        <v>120</v>
      </c>
      <c r="B6">
        <v>1</v>
      </c>
      <c r="C6">
        <v>2</v>
      </c>
      <c r="D6">
        <v>2</v>
      </c>
    </row>
    <row r="7" spans="1:8" x14ac:dyDescent="0.25">
      <c r="A7" t="s">
        <v>121</v>
      </c>
      <c r="B7">
        <v>1</v>
      </c>
      <c r="C7">
        <v>2</v>
      </c>
      <c r="D7">
        <v>2</v>
      </c>
    </row>
    <row r="8" spans="1:8" x14ac:dyDescent="0.25">
      <c r="A8" t="s">
        <v>61</v>
      </c>
      <c r="B8">
        <v>1</v>
      </c>
      <c r="C8">
        <v>2</v>
      </c>
      <c r="D8">
        <v>2</v>
      </c>
    </row>
    <row r="9" spans="1:8" x14ac:dyDescent="0.25">
      <c r="A9" t="s">
        <v>122</v>
      </c>
      <c r="B9">
        <v>1</v>
      </c>
      <c r="C9">
        <v>5</v>
      </c>
      <c r="D9">
        <v>5</v>
      </c>
    </row>
    <row r="10" spans="1:8" x14ac:dyDescent="0.25">
      <c r="A10" t="s">
        <v>123</v>
      </c>
      <c r="B10">
        <v>1</v>
      </c>
      <c r="C10">
        <v>2</v>
      </c>
      <c r="D10">
        <v>2</v>
      </c>
    </row>
    <row r="11" spans="1:8" x14ac:dyDescent="0.25">
      <c r="A11" t="s">
        <v>109</v>
      </c>
      <c r="B11">
        <v>3</v>
      </c>
      <c r="C11">
        <v>3</v>
      </c>
      <c r="D11">
        <v>9</v>
      </c>
    </row>
    <row r="12" spans="1:8" x14ac:dyDescent="0.25">
      <c r="A12" t="s">
        <v>97</v>
      </c>
      <c r="B12">
        <v>1</v>
      </c>
      <c r="C12">
        <v>2</v>
      </c>
      <c r="D12">
        <v>2</v>
      </c>
    </row>
    <row r="13" spans="1:8" x14ac:dyDescent="0.25">
      <c r="A13" t="s">
        <v>124</v>
      </c>
      <c r="B13">
        <v>1</v>
      </c>
      <c r="C13">
        <v>2</v>
      </c>
      <c r="D13">
        <v>2</v>
      </c>
    </row>
    <row r="14" spans="1:8" x14ac:dyDescent="0.25">
      <c r="A14" t="s">
        <v>110</v>
      </c>
      <c r="B14">
        <v>1</v>
      </c>
      <c r="C14">
        <v>3</v>
      </c>
      <c r="D14">
        <v>3</v>
      </c>
    </row>
    <row r="15" spans="1:8" x14ac:dyDescent="0.25">
      <c r="A15" t="s">
        <v>67</v>
      </c>
      <c r="B15">
        <v>5</v>
      </c>
      <c r="C15">
        <v>1.8</v>
      </c>
      <c r="D15">
        <v>9</v>
      </c>
    </row>
    <row r="16" spans="1:8" x14ac:dyDescent="0.25">
      <c r="A16" t="s">
        <v>125</v>
      </c>
      <c r="B16">
        <v>2</v>
      </c>
      <c r="C16">
        <v>2.5</v>
      </c>
      <c r="D16">
        <v>5</v>
      </c>
    </row>
    <row r="17" spans="1:4" x14ac:dyDescent="0.25">
      <c r="A17" t="s">
        <v>72</v>
      </c>
      <c r="B17">
        <v>2</v>
      </c>
      <c r="C17">
        <v>2.5</v>
      </c>
      <c r="D17">
        <v>5</v>
      </c>
    </row>
    <row r="18" spans="1:4" x14ac:dyDescent="0.25">
      <c r="A18" t="s">
        <v>95</v>
      </c>
      <c r="B18">
        <v>1</v>
      </c>
      <c r="C18">
        <v>2</v>
      </c>
      <c r="D18">
        <v>2</v>
      </c>
    </row>
    <row r="19" spans="1:4" x14ac:dyDescent="0.25">
      <c r="A19" t="s">
        <v>126</v>
      </c>
      <c r="B19">
        <v>1</v>
      </c>
      <c r="C19">
        <v>2</v>
      </c>
      <c r="D19">
        <v>2</v>
      </c>
    </row>
    <row r="20" spans="1:4" x14ac:dyDescent="0.25">
      <c r="A20" t="s">
        <v>127</v>
      </c>
      <c r="B20">
        <v>3</v>
      </c>
      <c r="C20">
        <v>2</v>
      </c>
      <c r="D20">
        <v>6</v>
      </c>
    </row>
    <row r="21" spans="1:4" x14ac:dyDescent="0.25">
      <c r="A21" t="s">
        <v>128</v>
      </c>
      <c r="B21">
        <v>1</v>
      </c>
      <c r="C21">
        <v>2</v>
      </c>
      <c r="D21"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H1" sqref="H1"/>
    </sheetView>
  </sheetViews>
  <sheetFormatPr defaultRowHeight="15" x14ac:dyDescent="0.25"/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151</v>
      </c>
      <c r="B2">
        <v>1</v>
      </c>
      <c r="C2">
        <v>2</v>
      </c>
      <c r="D2">
        <v>2</v>
      </c>
    </row>
    <row r="3" spans="1:8" x14ac:dyDescent="0.25">
      <c r="A3" t="s">
        <v>152</v>
      </c>
      <c r="B3">
        <v>1</v>
      </c>
      <c r="C3">
        <v>2</v>
      </c>
      <c r="D3">
        <v>2</v>
      </c>
    </row>
    <row r="4" spans="1:8" x14ac:dyDescent="0.25">
      <c r="A4" t="s">
        <v>138</v>
      </c>
      <c r="B4">
        <v>1</v>
      </c>
      <c r="C4">
        <v>3</v>
      </c>
      <c r="D4">
        <v>3</v>
      </c>
    </row>
    <row r="5" spans="1:8" x14ac:dyDescent="0.25">
      <c r="A5" t="s">
        <v>135</v>
      </c>
      <c r="B5">
        <v>1</v>
      </c>
      <c r="C5">
        <v>2</v>
      </c>
      <c r="D5">
        <v>2</v>
      </c>
    </row>
    <row r="6" spans="1:8" x14ac:dyDescent="0.25">
      <c r="A6" t="s">
        <v>142</v>
      </c>
      <c r="B6">
        <v>1</v>
      </c>
      <c r="C6">
        <v>2</v>
      </c>
      <c r="D6">
        <v>2</v>
      </c>
    </row>
    <row r="7" spans="1:8" x14ac:dyDescent="0.25">
      <c r="A7" t="s">
        <v>143</v>
      </c>
      <c r="B7">
        <v>1</v>
      </c>
      <c r="C7">
        <v>1</v>
      </c>
      <c r="D7">
        <v>1</v>
      </c>
    </row>
    <row r="8" spans="1:8" x14ac:dyDescent="0.25">
      <c r="A8" t="s">
        <v>34</v>
      </c>
      <c r="B8">
        <v>3</v>
      </c>
      <c r="C8">
        <v>1.6666666666666667</v>
      </c>
      <c r="D8">
        <v>5</v>
      </c>
    </row>
    <row r="9" spans="1:8" x14ac:dyDescent="0.25">
      <c r="A9" t="s">
        <v>144</v>
      </c>
      <c r="B9">
        <v>1</v>
      </c>
      <c r="C9">
        <v>3</v>
      </c>
      <c r="D9">
        <v>3</v>
      </c>
    </row>
    <row r="10" spans="1:8" x14ac:dyDescent="0.25">
      <c r="A10" t="s">
        <v>145</v>
      </c>
      <c r="B10">
        <v>1</v>
      </c>
      <c r="C10">
        <v>3</v>
      </c>
      <c r="D10">
        <v>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/>
  </sheetViews>
  <sheetFormatPr defaultRowHeight="15" x14ac:dyDescent="0.25"/>
  <cols>
    <col min="1" max="1" width="17.57031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99</v>
      </c>
      <c r="B2">
        <v>1</v>
      </c>
      <c r="C2">
        <v>5</v>
      </c>
      <c r="D2">
        <v>5</v>
      </c>
    </row>
    <row r="3" spans="1:8" x14ac:dyDescent="0.25">
      <c r="A3" t="s">
        <v>146</v>
      </c>
      <c r="B3">
        <v>1</v>
      </c>
      <c r="C3">
        <v>2</v>
      </c>
      <c r="D3">
        <v>2</v>
      </c>
    </row>
    <row r="4" spans="1:8" x14ac:dyDescent="0.25">
      <c r="A4" t="s">
        <v>121</v>
      </c>
      <c r="B4">
        <v>1</v>
      </c>
      <c r="C4">
        <v>5</v>
      </c>
      <c r="D4">
        <v>5</v>
      </c>
    </row>
    <row r="5" spans="1:8" x14ac:dyDescent="0.25">
      <c r="A5" t="s">
        <v>147</v>
      </c>
      <c r="B5">
        <v>1</v>
      </c>
      <c r="C5">
        <v>2</v>
      </c>
      <c r="D5">
        <v>2</v>
      </c>
    </row>
    <row r="6" spans="1:8" x14ac:dyDescent="0.25">
      <c r="A6" t="s">
        <v>148</v>
      </c>
      <c r="B6">
        <v>1</v>
      </c>
      <c r="C6">
        <v>2</v>
      </c>
      <c r="D6">
        <v>2</v>
      </c>
    </row>
    <row r="7" spans="1:8" x14ac:dyDescent="0.25">
      <c r="A7" t="s">
        <v>124</v>
      </c>
      <c r="B7">
        <v>1</v>
      </c>
      <c r="C7">
        <v>1</v>
      </c>
      <c r="D7">
        <v>1</v>
      </c>
    </row>
    <row r="8" spans="1:8" x14ac:dyDescent="0.25">
      <c r="A8" t="s">
        <v>67</v>
      </c>
      <c r="B8">
        <v>2</v>
      </c>
      <c r="C8">
        <v>2</v>
      </c>
      <c r="D8">
        <v>4</v>
      </c>
    </row>
    <row r="9" spans="1:8" x14ac:dyDescent="0.25">
      <c r="A9" t="s">
        <v>149</v>
      </c>
      <c r="B9">
        <v>1</v>
      </c>
      <c r="C9">
        <v>3</v>
      </c>
      <c r="D9">
        <v>3</v>
      </c>
    </row>
    <row r="10" spans="1:8" x14ac:dyDescent="0.25">
      <c r="A10" t="s">
        <v>150</v>
      </c>
      <c r="B10">
        <v>1</v>
      </c>
      <c r="C10">
        <v>2</v>
      </c>
      <c r="D10">
        <v>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tabSelected="1" topLeftCell="H1" workbookViewId="0">
      <selection activeCell="H1" sqref="H1"/>
    </sheetView>
  </sheetViews>
  <sheetFormatPr defaultRowHeight="15" x14ac:dyDescent="0.25"/>
  <cols>
    <col min="1" max="1" width="17.5703125" bestFit="1" customWidth="1"/>
    <col min="2" max="2" width="11.7109375" bestFit="1" customWidth="1"/>
    <col min="3" max="3" width="9.7109375" bestFit="1" customWidth="1"/>
    <col min="4" max="4" width="5" bestFit="1" customWidth="1"/>
  </cols>
  <sheetData>
    <row r="1" spans="1:8" x14ac:dyDescent="0.25">
      <c r="A1" t="s">
        <v>20</v>
      </c>
      <c r="B1" t="s">
        <v>49</v>
      </c>
      <c r="C1" t="s">
        <v>50</v>
      </c>
      <c r="D1" t="s">
        <v>51</v>
      </c>
      <c r="H1" s="11" t="str">
        <f>HYPERLINK("#'Summary'!A1","Summary Page")</f>
        <v>Summary Page</v>
      </c>
    </row>
    <row r="2" spans="1:8" x14ac:dyDescent="0.25">
      <c r="A2" t="s">
        <v>99</v>
      </c>
      <c r="B2">
        <v>1</v>
      </c>
      <c r="C2">
        <v>5</v>
      </c>
      <c r="D2">
        <v>5</v>
      </c>
    </row>
    <row r="3" spans="1:8" x14ac:dyDescent="0.25">
      <c r="A3" t="s">
        <v>121</v>
      </c>
      <c r="B3">
        <v>1</v>
      </c>
      <c r="C3">
        <v>1</v>
      </c>
      <c r="D3">
        <v>1</v>
      </c>
    </row>
    <row r="4" spans="1:8" x14ac:dyDescent="0.25">
      <c r="A4" t="s">
        <v>148</v>
      </c>
      <c r="B4">
        <v>1</v>
      </c>
      <c r="C4">
        <v>2</v>
      </c>
      <c r="D4">
        <v>2</v>
      </c>
    </row>
    <row r="5" spans="1:8" x14ac:dyDescent="0.25">
      <c r="A5" t="s">
        <v>67</v>
      </c>
      <c r="B5">
        <v>2</v>
      </c>
      <c r="C5">
        <v>2</v>
      </c>
      <c r="D5">
        <v>4</v>
      </c>
    </row>
    <row r="6" spans="1:8" x14ac:dyDescent="0.25">
      <c r="A6" t="s">
        <v>150</v>
      </c>
      <c r="B6">
        <v>1</v>
      </c>
      <c r="C6">
        <v>2</v>
      </c>
      <c r="D6">
        <v>2</v>
      </c>
    </row>
    <row r="7" spans="1:8" x14ac:dyDescent="0.25">
      <c r="A7" t="s">
        <v>95</v>
      </c>
      <c r="B7">
        <v>1</v>
      </c>
      <c r="C7">
        <v>5</v>
      </c>
      <c r="D7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Template</vt:lpstr>
      <vt:lpstr>Summary</vt:lpstr>
      <vt:lpstr>Descoped1802</vt:lpstr>
      <vt:lpstr>Descoped1803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</vt:lpstr>
      <vt:lpstr>Sheet2</vt:lpstr>
      <vt:lpstr>Sheet16</vt:lpstr>
      <vt:lpstr>Sheet17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2019-08-23T22:12:30Z</dcterms:modified>
</cp:coreProperties>
</file>