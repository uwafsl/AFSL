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Objects="none" filterPrivacy="1" codeName="ThisWorkbook" autoCompressPictures="0" defaultThemeVersion="124226"/>
  <bookViews>
    <workbookView xWindow="240" yWindow="105" windowWidth="14805" windowHeight="8025" tabRatio="658" firstSheet="65" activeTab="73"/>
  </bookViews>
  <sheets>
    <sheet name="Template" sheetId="7" r:id="rId1"/>
    <sheet name="Summary" sheetId="1" r:id="rId2"/>
    <sheet name="Accept1309" sheetId="5" r:id="rId3"/>
    <sheet name="Accept1310" sheetId="6" r:id="rId4"/>
    <sheet name="Accept1311" sheetId="8" r:id="rId5"/>
    <sheet name="Accept1312" sheetId="9" r:id="rId6"/>
    <sheet name="Accept1313" sheetId="10" r:id="rId7"/>
    <sheet name="Accept1401" sheetId="11" r:id="rId8"/>
    <sheet name="Accept1402" sheetId="12" r:id="rId9"/>
    <sheet name="Accept1403" sheetId="13" r:id="rId10"/>
    <sheet name="Accept1404" sheetId="14" r:id="rId11"/>
    <sheet name="Accept1405" sheetId="15" r:id="rId12"/>
    <sheet name="Accept1406" sheetId="16" r:id="rId13"/>
    <sheet name="Accept1407" sheetId="17" r:id="rId14"/>
    <sheet name="Accept1408" sheetId="18" r:id="rId15"/>
    <sheet name="Accept1409" sheetId="19" r:id="rId16"/>
    <sheet name="Accept1410" sheetId="20" r:id="rId17"/>
    <sheet name="Accept1411" sheetId="21" r:id="rId18"/>
    <sheet name="Accept1412" sheetId="22" r:id="rId19"/>
    <sheet name="Accept1501" sheetId="23" r:id="rId20"/>
    <sheet name="Accept1502" sheetId="24" r:id="rId21"/>
    <sheet name="Accept1503" sheetId="25" r:id="rId22"/>
    <sheet name="Accept1504" sheetId="26" r:id="rId23"/>
    <sheet name="Accept1505" sheetId="27" r:id="rId24"/>
    <sheet name="Accept1506" sheetId="28" r:id="rId25"/>
    <sheet name="Accept1507" sheetId="29" r:id="rId26"/>
    <sheet name="Accept1508" sheetId="30" r:id="rId27"/>
    <sheet name="Accept1509" sheetId="31" r:id="rId28"/>
    <sheet name="Accept1510" sheetId="32" r:id="rId29"/>
    <sheet name="Accept1511" sheetId="33" r:id="rId30"/>
    <sheet name="Accept1512" sheetId="34" r:id="rId31"/>
    <sheet name="Accept1601" sheetId="35" r:id="rId32"/>
    <sheet name="Accept1602" sheetId="36" r:id="rId33"/>
    <sheet name="Accept1603" sheetId="37" r:id="rId34"/>
    <sheet name="Accept1604" sheetId="38" r:id="rId35"/>
    <sheet name="Accept1605" sheetId="39" r:id="rId36"/>
    <sheet name="Accept1606" sheetId="40" r:id="rId37"/>
    <sheet name="Accept1607" sheetId="41" r:id="rId38"/>
    <sheet name="Accept1608" sheetId="42" r:id="rId39"/>
    <sheet name="Accept1609" sheetId="43" r:id="rId40"/>
    <sheet name="Accept1610" sheetId="44" r:id="rId41"/>
    <sheet name="Accept1611" sheetId="45" r:id="rId42"/>
    <sheet name="Accept1612" sheetId="46" r:id="rId43"/>
    <sheet name="Accept1701" sheetId="47" r:id="rId44"/>
    <sheet name="Accept1702" sheetId="48" r:id="rId45"/>
    <sheet name="Accept1703" sheetId="49" r:id="rId46"/>
    <sheet name="Accept1704" sheetId="50" r:id="rId47"/>
    <sheet name="Accept1705" sheetId="51" r:id="rId48"/>
    <sheet name="Accept1706" sheetId="52" r:id="rId49"/>
    <sheet name="Accept1707" sheetId="53" r:id="rId50"/>
    <sheet name="Accept1708" sheetId="54" r:id="rId51"/>
    <sheet name="Accept1709" sheetId="55" r:id="rId52"/>
    <sheet name="Accept1710" sheetId="56" r:id="rId53"/>
    <sheet name="Accept1711" sheetId="57" r:id="rId54"/>
    <sheet name="Accept1712" sheetId="58" r:id="rId55"/>
    <sheet name="Accept1801" sheetId="59" r:id="rId56"/>
    <sheet name="Accept1802" sheetId="60" r:id="rId57"/>
    <sheet name="Sheet58" sheetId="61" r:id="rId58"/>
    <sheet name="Sheet59" sheetId="62" r:id="rId59"/>
    <sheet name="Sheet60" sheetId="63" r:id="rId60"/>
    <sheet name="Sheet61" sheetId="64" r:id="rId61"/>
    <sheet name="Sheet62" sheetId="65" r:id="rId62"/>
    <sheet name="Sheet63" sheetId="66" r:id="rId63"/>
    <sheet name="Sheet64" sheetId="67" r:id="rId64"/>
    <sheet name="Sheet65" sheetId="68" r:id="rId65"/>
    <sheet name="Sheet66" sheetId="69" r:id="rId66"/>
    <sheet name="Sheet67" sheetId="70" r:id="rId67"/>
    <sheet name="Sheet68" sheetId="71" r:id="rId68"/>
    <sheet name="Sheet69" sheetId="72" r:id="rId69"/>
    <sheet name="Sheet70" sheetId="73" r:id="rId70"/>
    <sheet name="Sheet1" sheetId="74" r:id="rId71"/>
    <sheet name="1906" sheetId="75" r:id="rId72"/>
    <sheet name="Sheet73" sheetId="76" r:id="rId73"/>
    <sheet name="Sheet74" sheetId="77" r:id="rId74"/>
  </sheets>
  <calcPr calcId="152511" iterate="1" iterateDelta="1E-4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1" i="1" l="1"/>
  <c r="H1" i="75"/>
  <c r="A73" i="1"/>
  <c r="H1" i="77"/>
  <c r="A72" i="1"/>
  <c r="H1" i="76"/>
  <c r="A58" i="1"/>
  <c r="H1" i="62"/>
  <c r="A69" i="1"/>
  <c r="H1" i="73"/>
  <c r="A68" i="1"/>
  <c r="H1" i="72"/>
  <c r="A67" i="1"/>
  <c r="H1" i="71"/>
  <c r="A66" i="1"/>
  <c r="H1" i="70"/>
  <c r="A65" i="1"/>
  <c r="H1" i="69"/>
  <c r="A64" i="1"/>
  <c r="H1" i="68"/>
  <c r="A63" i="1"/>
  <c r="H1" i="67"/>
  <c r="A62" i="1"/>
  <c r="H1" i="66"/>
  <c r="A61" i="1"/>
  <c r="H1" i="65"/>
  <c r="A60" i="1"/>
  <c r="H1" i="64"/>
  <c r="A59" i="1"/>
  <c r="H1" i="63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27" i="5"/>
  <c r="A10" i="5"/>
</calcChain>
</file>

<file path=xl/sharedStrings.xml><?xml version="1.0" encoding="utf-8"?>
<sst xmlns="http://schemas.openxmlformats.org/spreadsheetml/2006/main" count="1906" uniqueCount="377">
  <si>
    <t>Date</t>
  </si>
  <si>
    <t>Comment</t>
  </si>
  <si>
    <t>Operator in Command</t>
  </si>
  <si>
    <t>Notes</t>
  </si>
  <si>
    <t>Summary Page</t>
  </si>
  <si>
    <t>To make a new Flight:</t>
  </si>
  <si>
    <t>1) Under "HOME" go to "Format"</t>
  </si>
  <si>
    <r>
      <t>2) "Format" -&gt; "Organize Sheets" -&gt; "</t>
    </r>
    <r>
      <rPr>
        <u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ove or Copy Sheets… "-&gt;</t>
    </r>
  </si>
  <si>
    <r>
      <t xml:space="preserve">3) In the "Move or Copy Sheets…" window choose this </t>
    </r>
    <r>
      <rPr>
        <b/>
        <sz val="11"/>
        <color theme="1"/>
        <rFont val="Calibri"/>
        <family val="2"/>
        <scheme val="minor"/>
      </rPr>
      <t>TEMPLATE</t>
    </r>
    <r>
      <rPr>
        <sz val="11"/>
        <color theme="1"/>
        <rFont val="Calibri"/>
        <family val="2"/>
        <scheme val="minor"/>
      </rPr>
      <t xml:space="preserve"> and check the "Create a Copy" box</t>
    </r>
  </si>
  <si>
    <r>
      <t xml:space="preserve">4) Rename the </t>
    </r>
    <r>
      <rPr>
        <b/>
        <sz val="11"/>
        <color theme="1"/>
        <rFont val="Calibri"/>
        <family val="2"/>
        <scheme val="minor"/>
      </rPr>
      <t>TEMPLATE(2)</t>
    </r>
    <r>
      <rPr>
        <sz val="11"/>
        <color theme="1"/>
        <rFont val="Calibri"/>
        <family val="2"/>
        <scheme val="minor"/>
      </rPr>
      <t xml:space="preserve"> to the new Flight#</t>
    </r>
  </si>
  <si>
    <t>5) Update the Summary Page for ArduPlane, Parameter Version, and Operator in Command</t>
  </si>
  <si>
    <t>6) Start recording :D</t>
  </si>
  <si>
    <t>7) At the end of the flight, make sure to update the Summary page for the flight comments and number of minutes in air</t>
  </si>
  <si>
    <t>Hannah Rotta</t>
  </si>
  <si>
    <t>landed</t>
  </si>
  <si>
    <t>Got Peach of the ground and flew around in manual and stabilize mode</t>
  </si>
  <si>
    <t>reached waypoint 3</t>
  </si>
  <si>
    <t>reached waypoint 4</t>
  </si>
  <si>
    <t>reached waypoint 5</t>
  </si>
  <si>
    <t>reached waypoint 6</t>
  </si>
  <si>
    <t>reached waypoint 7</t>
  </si>
  <si>
    <t>reached waypoint 8</t>
  </si>
  <si>
    <t>reached waypoint 9</t>
  </si>
  <si>
    <t>reached waypoint 13</t>
  </si>
  <si>
    <t>reached waypoint 11</t>
  </si>
  <si>
    <t>reached waypoint 10</t>
  </si>
  <si>
    <t>reached waypoint 14</t>
  </si>
  <si>
    <t>reached waypoint 12</t>
  </si>
  <si>
    <t>reached waypoint 15</t>
  </si>
  <si>
    <t>switched to RTL (from auto)</t>
  </si>
  <si>
    <t>switched to stabilize (from RTL)</t>
  </si>
  <si>
    <t>Validated RTL, guided, and auto modes</t>
  </si>
  <si>
    <t>Timestamp Auto</t>
  </si>
  <si>
    <t>Accepted Data</t>
  </si>
  <si>
    <t>Create a New Sprint!</t>
  </si>
  <si>
    <t>Sprint</t>
  </si>
  <si>
    <t>Developer</t>
  </si>
  <si>
    <t>Al Creigh</t>
  </si>
  <si>
    <t>Bao Le</t>
  </si>
  <si>
    <t>Christopher Lum</t>
  </si>
  <si>
    <t>Daniel Ablog</t>
  </si>
  <si>
    <t>Kevin Ueunten</t>
  </si>
  <si>
    <t>Madison Peck</t>
  </si>
  <si>
    <t>Matthew Davis</t>
  </si>
  <si>
    <t>Taras Eremenko</t>
  </si>
  <si>
    <t>GroupCount</t>
  </si>
  <si>
    <t>mean_Pts</t>
  </si>
  <si>
    <t>SUM</t>
  </si>
  <si>
    <t>Federico Alvarez</t>
  </si>
  <si>
    <t>Noel Kimber</t>
  </si>
  <si>
    <t>Brian Chang</t>
  </si>
  <si>
    <t>Dai Tsukada</t>
  </si>
  <si>
    <t>Henry Qin</t>
  </si>
  <si>
    <t>Keisuke Tsujita</t>
  </si>
  <si>
    <t>Richard Fukutome</t>
  </si>
  <si>
    <t>Seunghyun Ko</t>
  </si>
  <si>
    <t>John Marshall</t>
  </si>
  <si>
    <t>Robert McSwain</t>
  </si>
  <si>
    <t>Taylor Campbell</t>
  </si>
  <si>
    <t>Justin Yantus</t>
  </si>
  <si>
    <t>Aleksandr Tereshchenkov</t>
  </si>
  <si>
    <t>Ryan Valach</t>
  </si>
  <si>
    <t>Angel Rodriguez</t>
  </si>
  <si>
    <t>Justin Taft</t>
  </si>
  <si>
    <t>Melanie Clark</t>
  </si>
  <si>
    <t>Alexander Summers</t>
  </si>
  <si>
    <t>Brian Carpenter</t>
  </si>
  <si>
    <t>Alec Bueing</t>
  </si>
  <si>
    <t>Ben Landes</t>
  </si>
  <si>
    <t>Brendan Doyle Wade</t>
  </si>
  <si>
    <t>Bryan Ghahremani</t>
  </si>
  <si>
    <t>Cory Hage</t>
  </si>
  <si>
    <t>Dana Fraij</t>
  </si>
  <si>
    <t>Erli Sheng</t>
  </si>
  <si>
    <t>Hao Ruan</t>
  </si>
  <si>
    <t>Mason Steinbrueck</t>
  </si>
  <si>
    <t>Maxine Tan</t>
  </si>
  <si>
    <t>Randy Lirano</t>
  </si>
  <si>
    <t>Robert Soo</t>
  </si>
  <si>
    <t>Jeremy Brenner</t>
  </si>
  <si>
    <t>Gage Winde</t>
  </si>
  <si>
    <t>Jason Hung</t>
  </si>
  <si>
    <t>Matthew Jones</t>
  </si>
  <si>
    <t>Sanjit Samra</t>
  </si>
  <si>
    <t>Tarik Haj-Khalil</t>
  </si>
  <si>
    <t>Matthew Bolte</t>
  </si>
  <si>
    <t>Andrew Jacobson</t>
  </si>
  <si>
    <t>Felipe Medeiros</t>
  </si>
  <si>
    <t>Gizelle Gando</t>
  </si>
  <si>
    <t>Hannah Olliges</t>
  </si>
  <si>
    <t>Yifu Wang</t>
  </si>
  <si>
    <t>Zach Caratao</t>
  </si>
  <si>
    <t>Robert Larson</t>
  </si>
  <si>
    <t>Ward Handley</t>
  </si>
  <si>
    <t>Adrien Simkins</t>
  </si>
  <si>
    <t>Daniel Varnum-Lowry</t>
  </si>
  <si>
    <t>Emil Caga-anan</t>
  </si>
  <si>
    <t>Luke Macfarlan</t>
  </si>
  <si>
    <t>Marissa Reid</t>
  </si>
  <si>
    <t>Pico Premvuti</t>
  </si>
  <si>
    <t>Shida Xu</t>
  </si>
  <si>
    <t>Carter Beamish</t>
  </si>
  <si>
    <t>Charlie Shaw-Feather</t>
  </si>
  <si>
    <t>Jennifer Look</t>
  </si>
  <si>
    <t>Justin Chu</t>
  </si>
  <si>
    <t>Madison Mackenzie</t>
  </si>
  <si>
    <t>Anupam Gupta</t>
  </si>
  <si>
    <t>Daniel Zhu</t>
  </si>
  <si>
    <t>Harrison Stankey</t>
  </si>
  <si>
    <t>Mia Lee</t>
  </si>
  <si>
    <t>Navdeep Sandhu</t>
  </si>
  <si>
    <t>Scott An</t>
  </si>
  <si>
    <t>Simeng Zhu</t>
  </si>
  <si>
    <t>Tyler Leis</t>
  </si>
  <si>
    <t>Connor Kafka</t>
  </si>
  <si>
    <t>Zachary Williams</t>
  </si>
  <si>
    <t>Nathan Isaman</t>
  </si>
  <si>
    <t>Aaron Goldfogel</t>
  </si>
  <si>
    <t>Vitor Vasconcelos</t>
  </si>
  <si>
    <t>Daniel Arzouman</t>
  </si>
  <si>
    <t>Tadej Kosel</t>
  </si>
  <si>
    <t>Arwa Sait</t>
  </si>
  <si>
    <t>Selina Lui</t>
  </si>
  <si>
    <t>Ryan Grimes</t>
  </si>
  <si>
    <t>Zhenzhen Su</t>
  </si>
  <si>
    <t>Chris Nee</t>
  </si>
  <si>
    <t>James Kurniawan</t>
  </si>
  <si>
    <t>Karine Chen</t>
  </si>
  <si>
    <t>Max McDonald</t>
  </si>
  <si>
    <t>Michael Brady</t>
  </si>
  <si>
    <t>Shumin Lin</t>
  </si>
  <si>
    <t>Truc Hoa</t>
  </si>
  <si>
    <t>Aaron Su</t>
  </si>
  <si>
    <t>Jason Borgida</t>
  </si>
  <si>
    <t>Riley Turk</t>
  </si>
  <si>
    <t>Tommy Zhou</t>
  </si>
  <si>
    <t>BJ Arun</t>
  </si>
  <si>
    <t>Brett Myers</t>
  </si>
  <si>
    <t>Kelsey Gabel</t>
  </si>
  <si>
    <t>Kibaek Jeong</t>
  </si>
  <si>
    <t>Taehan Kook</t>
  </si>
  <si>
    <t>Eze Klarnet</t>
  </si>
  <si>
    <t>Maius Wong</t>
  </si>
  <si>
    <t>Nikita Filippov</t>
  </si>
  <si>
    <t>Ge Bao</t>
  </si>
  <si>
    <t>Helen Kuni</t>
  </si>
  <si>
    <t>Sam Buxton</t>
  </si>
  <si>
    <t>Sicong Huang</t>
  </si>
  <si>
    <t>Carter Kraus</t>
  </si>
  <si>
    <t>Cole Morgan</t>
  </si>
  <si>
    <t>Gavin Cai</t>
  </si>
  <si>
    <t>Kai Simpson</t>
  </si>
  <si>
    <t>Ken Sekine</t>
  </si>
  <si>
    <t>Matthew Lee</t>
  </si>
  <si>
    <t>Riley Harris</t>
  </si>
  <si>
    <t>Zach Kirwan</t>
  </si>
  <si>
    <t>Eric Wang</t>
  </si>
  <si>
    <t>Matthew Lemelin</t>
  </si>
  <si>
    <t>Mircea Cozmei</t>
  </si>
  <si>
    <t>Nicholas Price</t>
  </si>
  <si>
    <t>Nick Armstrong</t>
  </si>
  <si>
    <t>Richard Jiang</t>
  </si>
  <si>
    <t>Tinnabhand Patana-anake</t>
  </si>
  <si>
    <t>Tom Pflibsen</t>
  </si>
  <si>
    <t>David Kim</t>
  </si>
  <si>
    <t>Ravi Patel</t>
  </si>
  <si>
    <t>Chung Choi</t>
  </si>
  <si>
    <t>Blake Fletcher</t>
  </si>
  <si>
    <t>Bryson Bruno</t>
  </si>
  <si>
    <t>Caelen Wang</t>
  </si>
  <si>
    <t>Deepanshu Gupta</t>
  </si>
  <si>
    <t>Dylan Hoff</t>
  </si>
  <si>
    <t>Firn Tieanklin</t>
  </si>
  <si>
    <t>Griffin Klett</t>
  </si>
  <si>
    <t>Jason Yarrow</t>
  </si>
  <si>
    <t>Jaspreet Sidhu</t>
  </si>
  <si>
    <t>Joshua Brockschmidt</t>
  </si>
  <si>
    <t>Rick Huang</t>
  </si>
  <si>
    <t>Sai Ranganathan</t>
  </si>
  <si>
    <t>Sid Raman</t>
  </si>
  <si>
    <t>Sita Manne</t>
  </si>
  <si>
    <t>Varith Hong</t>
  </si>
  <si>
    <t>Vivian Hua</t>
  </si>
  <si>
    <t>Jacob Longhurst</t>
  </si>
  <si>
    <t>Travis Clement</t>
  </si>
  <si>
    <t>Yao Dou</t>
  </si>
  <si>
    <t>Samden Sherpa</t>
  </si>
  <si>
    <t>Zachary Rotter</t>
  </si>
  <si>
    <t>Christina Hsu</t>
  </si>
  <si>
    <t>Nick Anderson</t>
  </si>
  <si>
    <t>Benjamin Pennant</t>
  </si>
  <si>
    <t>Bing Hu</t>
  </si>
  <si>
    <t>Ananya Tegegn</t>
  </si>
  <si>
    <t>Casey Kilborn</t>
  </si>
  <si>
    <t>Lien Chang</t>
  </si>
  <si>
    <t>Scott Hoang</t>
  </si>
  <si>
    <t>Stephanie Rogers</t>
  </si>
  <si>
    <t>Tyler Sheehan</t>
  </si>
  <si>
    <t>Courtney Yeager</t>
  </si>
  <si>
    <t>Elaiza Luker</t>
  </si>
  <si>
    <t>Andrew Park</t>
  </si>
  <si>
    <t>Daniel Matthew</t>
  </si>
  <si>
    <t>Alex Banh</t>
  </si>
  <si>
    <t>Conor Reiland</t>
  </si>
  <si>
    <t>Lanhao Wu</t>
  </si>
  <si>
    <t>Alex Lange</t>
  </si>
  <si>
    <t>Forrest Malcolm</t>
  </si>
  <si>
    <t>Andrew Redd</t>
  </si>
  <si>
    <t>Areesa Trevino</t>
  </si>
  <si>
    <t>Emilynn Roehrich</t>
  </si>
  <si>
    <t>Keegan McGrath</t>
  </si>
  <si>
    <t>Orion Black-Brown</t>
  </si>
  <si>
    <t>Tushar Lakhanpal</t>
  </si>
  <si>
    <t>Mike Kurnia</t>
  </si>
  <si>
    <t>Sheershak Agarwal</t>
  </si>
  <si>
    <t>Tao Jin</t>
  </si>
  <si>
    <t>Alex Bernard</t>
  </si>
  <si>
    <t>Bohao Zhu</t>
  </si>
  <si>
    <t>Christopher Lynch</t>
  </si>
  <si>
    <t>Gabriella Sciuchetti</t>
  </si>
  <si>
    <t>Kirby Taylor</t>
  </si>
  <si>
    <t>Laura Smit</t>
  </si>
  <si>
    <t>Mason Guiste</t>
  </si>
  <si>
    <t>Matlab Version</t>
  </si>
  <si>
    <t>R2017a</t>
  </si>
  <si>
    <t>Rostyk Svitelskyi</t>
  </si>
  <si>
    <t>Shaunak Pandit</t>
  </si>
  <si>
    <t>R2016b</t>
  </si>
  <si>
    <t>Agarwal Sheershak</t>
  </si>
  <si>
    <t>Bernard Alex</t>
  </si>
  <si>
    <t>Brockschmidt Joshua</t>
  </si>
  <si>
    <t>Bruno Bryson</t>
  </si>
  <si>
    <t>Cantey Cory</t>
  </si>
  <si>
    <t>Chen Karine</t>
  </si>
  <si>
    <t>Choi Chung</t>
  </si>
  <si>
    <t>Dou Yao</t>
  </si>
  <si>
    <t>Fletcher Blake</t>
  </si>
  <si>
    <t>Grimes Ryan</t>
  </si>
  <si>
    <t>Jin Tao</t>
  </si>
  <si>
    <t>Kraus Carter</t>
  </si>
  <si>
    <t>Kuni Helen</t>
  </si>
  <si>
    <t>Lum Christopher</t>
  </si>
  <si>
    <t>Lynch Christopher</t>
  </si>
  <si>
    <t>Rotta Hannah</t>
  </si>
  <si>
    <t>Rotter Zachary</t>
  </si>
  <si>
    <t>Sciuchetti Gabriella</t>
  </si>
  <si>
    <t>Sherpa Samden</t>
  </si>
  <si>
    <t>Smit Laura</t>
  </si>
  <si>
    <t>Taylor Kirby</t>
  </si>
  <si>
    <t>Zhu Bohao</t>
  </si>
  <si>
    <t>Banh Alex</t>
  </si>
  <si>
    <t>Brady Michael</t>
  </si>
  <si>
    <t>Bringham Grant</t>
  </si>
  <si>
    <t>Chandra Frederick</t>
  </si>
  <si>
    <t>DePalma Joseph</t>
  </si>
  <si>
    <t>Filippov Nikita</t>
  </si>
  <si>
    <t>Guiste Mason</t>
  </si>
  <si>
    <t>Gupta Deepanshu</t>
  </si>
  <si>
    <t>Hoff Dylan</t>
  </si>
  <si>
    <t>Hong Varith</t>
  </si>
  <si>
    <t>Hua Vivian</t>
  </si>
  <si>
    <t>Huang Rick</t>
  </si>
  <si>
    <t>Kafka Connor</t>
  </si>
  <si>
    <t>Kook Taehan</t>
  </si>
  <si>
    <t>Kosel Tadej</t>
  </si>
  <si>
    <t>Lee Kelly</t>
  </si>
  <si>
    <t>Lemelin Matthew</t>
  </si>
  <si>
    <t>Longhurst Jacob</t>
  </si>
  <si>
    <t>Lui Selina</t>
  </si>
  <si>
    <t>Manne Sita</t>
  </si>
  <si>
    <t>Oung Veen</t>
  </si>
  <si>
    <t>Pandit Shaunak</t>
  </si>
  <si>
    <t>Park Andrew</t>
  </si>
  <si>
    <t>Patana-anake Tinnabhand</t>
  </si>
  <si>
    <t>Patel Ravi</t>
  </si>
  <si>
    <t>Pflibsen Tom</t>
  </si>
  <si>
    <t>Price Nicholas</t>
  </si>
  <si>
    <t>Redd Andrew</t>
  </si>
  <si>
    <t>Sidhu Jaspreet</t>
  </si>
  <si>
    <t>Svitelskyi Rostyk</t>
  </si>
  <si>
    <t>Tieanklin Firn</t>
  </si>
  <si>
    <t>Turk Riley</t>
  </si>
  <si>
    <t>Wang Eric</t>
  </si>
  <si>
    <t>Williams Zachary</t>
  </si>
  <si>
    <t>Xu Shida</t>
  </si>
  <si>
    <t>Clement Travis</t>
  </si>
  <si>
    <t>Sherpa Ang-Samden</t>
  </si>
  <si>
    <t>Sims Jordan</t>
  </si>
  <si>
    <t>Svitelskyi Rostyslav</t>
  </si>
  <si>
    <t>Fixed error. Members' name should be Two words.</t>
  </si>
  <si>
    <t>If you missed to record sprint data, you should find a previous user_stories.xlsx and run Matlab with it.</t>
  </si>
  <si>
    <t>Abad Reuel</t>
  </si>
  <si>
    <t>Chu Sarah</t>
  </si>
  <si>
    <t>Collom Gerald</t>
  </si>
  <si>
    <t>Harr Brian</t>
  </si>
  <si>
    <t>Huerta-Ramirez Stephanie</t>
  </si>
  <si>
    <t>Lei Norman</t>
  </si>
  <si>
    <t>Li Boda</t>
  </si>
  <si>
    <t>Liu Wendy</t>
  </si>
  <si>
    <t>Nguyen DB</t>
  </si>
  <si>
    <t>Zhu Leo</t>
  </si>
  <si>
    <t>Al_Naji Hadi</t>
  </si>
  <si>
    <t>Chauhan Aditi</t>
  </si>
  <si>
    <t>Howle Annyn</t>
  </si>
  <si>
    <t>Drozynski Emily</t>
  </si>
  <si>
    <t>Lakshmanan Sidharth</t>
  </si>
  <si>
    <t>Lee Josh</t>
  </si>
  <si>
    <t>Stanley Shawn</t>
  </si>
  <si>
    <t>White Nathan</t>
  </si>
  <si>
    <t>Carda Sean</t>
  </si>
  <si>
    <t>Choi John</t>
  </si>
  <si>
    <t>Davis Matthew</t>
  </si>
  <si>
    <t>Dong Houyu</t>
  </si>
  <si>
    <t>Kim Yubin</t>
  </si>
  <si>
    <t>Latimer Zechariah</t>
  </si>
  <si>
    <t>Lee Cathy</t>
  </si>
  <si>
    <t>Mortell Liam</t>
  </si>
  <si>
    <t>Park Austin</t>
  </si>
  <si>
    <t>Tavakoli Cameron</t>
  </si>
  <si>
    <t>Wells Peyton</t>
  </si>
  <si>
    <t>Hughes Emelia</t>
  </si>
  <si>
    <t>Lee Sam</t>
  </si>
  <si>
    <t>Natarajan Pranav</t>
  </si>
  <si>
    <t>Latimer Zech</t>
  </si>
  <si>
    <t>Raikar Akshay</t>
  </si>
  <si>
    <t>Akshay Raikar</t>
  </si>
  <si>
    <t>An Nguyen</t>
  </si>
  <si>
    <t>Austin Park</t>
  </si>
  <si>
    <t>Cameron Tavakoli</t>
  </si>
  <si>
    <t>Cathy Lee</t>
  </si>
  <si>
    <t>Chris Hayner</t>
  </si>
  <si>
    <t>Hannah Bi</t>
  </si>
  <si>
    <t>Josh Lee</t>
  </si>
  <si>
    <t>Kevin Zhu</t>
  </si>
  <si>
    <t>Liam Mortell</t>
  </si>
  <si>
    <t>Lyddie Austin</t>
  </si>
  <si>
    <t>Michael Friend</t>
  </si>
  <si>
    <t>Natanael Putra</t>
  </si>
  <si>
    <t>Sean Carda</t>
  </si>
  <si>
    <t>Shawn Stanley</t>
  </si>
  <si>
    <t>Tina Li</t>
  </si>
  <si>
    <t>Yubin Kim</t>
  </si>
  <si>
    <t>Zech Latimer</t>
  </si>
  <si>
    <t>R2015b</t>
  </si>
  <si>
    <t>Nathan Han</t>
  </si>
  <si>
    <t>Pranav Natarajan</t>
  </si>
  <si>
    <t>Wasif Siddique</t>
  </si>
  <si>
    <t>Austin Lyddie</t>
  </si>
  <si>
    <t>Bi Hannah</t>
  </si>
  <si>
    <t>Fortmann Rori</t>
  </si>
  <si>
    <t>Han Nathan</t>
  </si>
  <si>
    <t>Hayner Chris</t>
  </si>
  <si>
    <t>Jacobs Mozes</t>
  </si>
  <si>
    <t>Li Tina</t>
  </si>
  <si>
    <t>Nguyen An</t>
  </si>
  <si>
    <t>Putra Natanael</t>
  </si>
  <si>
    <t>Zhu Kevin</t>
  </si>
  <si>
    <t>Babu Abhishek</t>
  </si>
  <si>
    <t>Siddique Wasif</t>
  </si>
  <si>
    <t>Eli Sitchin</t>
  </si>
  <si>
    <t>Parker Mayhew</t>
  </si>
  <si>
    <t>Rori Fortmann</t>
  </si>
  <si>
    <t>R2019b</t>
  </si>
  <si>
    <t>Did not print the list of descoped developers in the command line, and didn't put anything in AcceptedDeveloper or DescopedDeveloper.</t>
  </si>
  <si>
    <t xml:space="preserve"> Developer        GroupCount    mean_Pts    SUM</t>
  </si>
  <si>
    <t xml:space="preserve">    ________________    __________    ________    ___</t>
  </si>
  <si>
    <t xml:space="preserve">    'Fortmann Rori'          3              2      6 </t>
  </si>
  <si>
    <t xml:space="preserve">    'Hayner Chris'          11              2     22 </t>
  </si>
  <si>
    <t xml:space="preserve">    'Kuni Helen'             5              3     15 </t>
  </si>
  <si>
    <t xml:space="preserve">    'Labib Arvean'           1              2      2 </t>
  </si>
  <si>
    <t xml:space="preserve">    'Latimer Zech'           4              3     12 </t>
  </si>
  <si>
    <t xml:space="preserve">    'Mayhew Parker'          3         1.6667      5 </t>
  </si>
  <si>
    <t xml:space="preserve">    'Mortell Liam'           6         2.3333     14 </t>
  </si>
  <si>
    <t xml:space="preserve">    'Nguyen An'              5              2     10 </t>
  </si>
  <si>
    <t xml:space="preserve">    'Peng Howard'            2            1.5      3 </t>
  </si>
  <si>
    <t xml:space="preserve">    'Price Nicholas'         1              2      2 </t>
  </si>
  <si>
    <t xml:space="preserve">    'Sitchin Eli'           13         1.4615     19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</si>
</sst>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[$-409]h:mm:ss\ AM/P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164" fontId="0" fillId="0" borderId="0" xfId="0" applyNumberFormat="1"/>
    <xf numFmtId="19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2" fillId="2" borderId="0" xfId="1" applyFill="1"/>
    <xf numFmtId="0" fontId="3" fillId="0" borderId="0" xfId="0" applyFont="1"/>
    <xf numFmtId="165" fontId="1" fillId="0" borderId="0" xfId="0" applyNumberFormat="1" applyFont="1"/>
    <xf numFmtId="165" fontId="0" fillId="0" borderId="0" xfId="0" applyNumberFormat="1"/>
    <xf numFmtId="0" fontId="2" fillId="0" borderId="0" xfId="1" applyFill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1"/>
  <sheetViews>
    <sheetView workbookViewId="0">
      <selection activeCell="H1" sqref="H1"/>
    </sheetView>
  </sheetViews>
  <sheetFormatPr defaultColWidth="11.42578125" defaultRowHeight="15" x14ac:dyDescent="0.25"/>
  <cols>
    <col min="1" max="1" width="16.42578125" style="9" customWidth="1"/>
  </cols>
  <sheetData>
    <row r="1" spans="1:9" x14ac:dyDescent="0.25">
      <c r="A1" s="8" t="s">
        <v>32</v>
      </c>
      <c r="B1" s="1" t="s">
        <v>3</v>
      </c>
      <c r="I1" s="6" t="s">
        <v>4</v>
      </c>
    </row>
    <row r="2" spans="1:9" x14ac:dyDescent="0.25">
      <c r="A2" s="9" t="str">
        <f t="shared" ref="A2:A41" ca="1" si="0">IF(B2&lt;&gt;"",IF(A2="",NOW(),A2),"")</f>
        <v/>
      </c>
    </row>
    <row r="3" spans="1:9" x14ac:dyDescent="0.25">
      <c r="A3" s="9" t="str">
        <f t="shared" ca="1" si="0"/>
        <v/>
      </c>
      <c r="I3" s="7" t="s">
        <v>5</v>
      </c>
    </row>
    <row r="4" spans="1:9" x14ac:dyDescent="0.25">
      <c r="A4" s="9" t="str">
        <f t="shared" ca="1" si="0"/>
        <v/>
      </c>
      <c r="I4" t="s">
        <v>6</v>
      </c>
    </row>
    <row r="5" spans="1:9" x14ac:dyDescent="0.25">
      <c r="A5" s="9" t="str">
        <f t="shared" ca="1" si="0"/>
        <v/>
      </c>
      <c r="I5" t="s">
        <v>7</v>
      </c>
    </row>
    <row r="6" spans="1:9" x14ac:dyDescent="0.25">
      <c r="A6" s="9" t="str">
        <f t="shared" ca="1" si="0"/>
        <v/>
      </c>
      <c r="I6" t="s">
        <v>8</v>
      </c>
    </row>
    <row r="7" spans="1:9" x14ac:dyDescent="0.25">
      <c r="A7" s="9" t="str">
        <f t="shared" ca="1" si="0"/>
        <v/>
      </c>
      <c r="I7" t="s">
        <v>9</v>
      </c>
    </row>
    <row r="8" spans="1:9" x14ac:dyDescent="0.25">
      <c r="A8" s="9" t="str">
        <f t="shared" ca="1" si="0"/>
        <v/>
      </c>
      <c r="I8" t="s">
        <v>10</v>
      </c>
    </row>
    <row r="9" spans="1:9" x14ac:dyDescent="0.25">
      <c r="A9" s="9" t="str">
        <f t="shared" ca="1" si="0"/>
        <v/>
      </c>
      <c r="I9" t="s">
        <v>11</v>
      </c>
    </row>
    <row r="10" spans="1:9" x14ac:dyDescent="0.25">
      <c r="A10" s="9" t="str">
        <f t="shared" ca="1" si="0"/>
        <v/>
      </c>
      <c r="I10" t="s">
        <v>12</v>
      </c>
    </row>
    <row r="11" spans="1:9" x14ac:dyDescent="0.25">
      <c r="A11" s="9" t="str">
        <f t="shared" ca="1" si="0"/>
        <v/>
      </c>
    </row>
    <row r="12" spans="1:9" x14ac:dyDescent="0.25">
      <c r="A12" s="9" t="str">
        <f t="shared" ca="1" si="0"/>
        <v/>
      </c>
    </row>
    <row r="13" spans="1:9" x14ac:dyDescent="0.25">
      <c r="A13" s="9" t="str">
        <f t="shared" ca="1" si="0"/>
        <v/>
      </c>
    </row>
    <row r="14" spans="1:9" x14ac:dyDescent="0.25">
      <c r="A14" s="9" t="str">
        <f t="shared" ca="1" si="0"/>
        <v/>
      </c>
    </row>
    <row r="15" spans="1:9" x14ac:dyDescent="0.25">
      <c r="A15" s="9" t="str">
        <f t="shared" ca="1" si="0"/>
        <v/>
      </c>
    </row>
    <row r="16" spans="1:9" x14ac:dyDescent="0.25">
      <c r="A16" s="9" t="str">
        <f t="shared" ca="1" si="0"/>
        <v/>
      </c>
    </row>
    <row r="17" spans="1:1" x14ac:dyDescent="0.25">
      <c r="A17" s="9" t="str">
        <f t="shared" ca="1" si="0"/>
        <v/>
      </c>
    </row>
    <row r="18" spans="1:1" x14ac:dyDescent="0.25">
      <c r="A18" s="9" t="str">
        <f t="shared" ca="1" si="0"/>
        <v/>
      </c>
    </row>
    <row r="19" spans="1:1" x14ac:dyDescent="0.25">
      <c r="A19" s="9" t="str">
        <f t="shared" ca="1" si="0"/>
        <v/>
      </c>
    </row>
    <row r="20" spans="1:1" x14ac:dyDescent="0.25">
      <c r="A20" s="9" t="str">
        <f t="shared" ca="1" si="0"/>
        <v/>
      </c>
    </row>
    <row r="21" spans="1:1" x14ac:dyDescent="0.25">
      <c r="A21" s="9" t="str">
        <f t="shared" ca="1" si="0"/>
        <v/>
      </c>
    </row>
    <row r="22" spans="1:1" x14ac:dyDescent="0.25">
      <c r="A22" s="9" t="str">
        <f t="shared" ca="1" si="0"/>
        <v/>
      </c>
    </row>
    <row r="23" spans="1:1" x14ac:dyDescent="0.25">
      <c r="A23" s="9" t="str">
        <f t="shared" ca="1" si="0"/>
        <v/>
      </c>
    </row>
    <row r="24" spans="1:1" x14ac:dyDescent="0.25">
      <c r="A24" s="9" t="str">
        <f t="shared" ca="1" si="0"/>
        <v/>
      </c>
    </row>
    <row r="25" spans="1:1" x14ac:dyDescent="0.25">
      <c r="A25" s="9" t="str">
        <f t="shared" ca="1" si="0"/>
        <v/>
      </c>
    </row>
    <row r="26" spans="1:1" x14ac:dyDescent="0.25">
      <c r="A26" s="9" t="str">
        <f t="shared" ca="1" si="0"/>
        <v/>
      </c>
    </row>
    <row r="27" spans="1:1" x14ac:dyDescent="0.25">
      <c r="A27" s="9" t="str">
        <f t="shared" ca="1" si="0"/>
        <v/>
      </c>
    </row>
    <row r="28" spans="1:1" x14ac:dyDescent="0.25">
      <c r="A28" s="9" t="str">
        <f t="shared" ca="1" si="0"/>
        <v/>
      </c>
    </row>
    <row r="29" spans="1:1" x14ac:dyDescent="0.25">
      <c r="A29" s="9" t="str">
        <f t="shared" ca="1" si="0"/>
        <v/>
      </c>
    </row>
    <row r="30" spans="1:1" x14ac:dyDescent="0.25">
      <c r="A30" s="9" t="str">
        <f t="shared" ca="1" si="0"/>
        <v/>
      </c>
    </row>
    <row r="31" spans="1:1" x14ac:dyDescent="0.25">
      <c r="A31" s="9" t="str">
        <f t="shared" ca="1" si="0"/>
        <v/>
      </c>
    </row>
    <row r="32" spans="1:1" x14ac:dyDescent="0.25">
      <c r="A32" s="9" t="str">
        <f t="shared" ca="1" si="0"/>
        <v/>
      </c>
    </row>
    <row r="33" spans="1:1" x14ac:dyDescent="0.25">
      <c r="A33" s="9" t="str">
        <f t="shared" ca="1" si="0"/>
        <v/>
      </c>
    </row>
    <row r="34" spans="1:1" x14ac:dyDescent="0.25">
      <c r="A34" s="9" t="str">
        <f t="shared" ca="1" si="0"/>
        <v/>
      </c>
    </row>
    <row r="35" spans="1:1" x14ac:dyDescent="0.25">
      <c r="A35" s="9" t="str">
        <f t="shared" ca="1" si="0"/>
        <v/>
      </c>
    </row>
    <row r="36" spans="1:1" x14ac:dyDescent="0.25">
      <c r="A36" s="9" t="str">
        <f t="shared" ca="1" si="0"/>
        <v/>
      </c>
    </row>
    <row r="37" spans="1:1" x14ac:dyDescent="0.25">
      <c r="A37" s="9" t="str">
        <f t="shared" ca="1" si="0"/>
        <v/>
      </c>
    </row>
    <row r="38" spans="1:1" x14ac:dyDescent="0.25">
      <c r="A38" s="9" t="str">
        <f t="shared" ca="1" si="0"/>
        <v/>
      </c>
    </row>
    <row r="39" spans="1:1" x14ac:dyDescent="0.25">
      <c r="A39" s="9" t="str">
        <f t="shared" ca="1" si="0"/>
        <v/>
      </c>
    </row>
    <row r="40" spans="1:1" x14ac:dyDescent="0.25">
      <c r="A40" s="9" t="str">
        <f t="shared" ca="1" si="0"/>
        <v/>
      </c>
    </row>
    <row r="41" spans="1:1" x14ac:dyDescent="0.25">
      <c r="A41" s="9" t="str">
        <f t="shared" ca="1" si="0"/>
        <v/>
      </c>
    </row>
  </sheetData>
  <hyperlinks>
    <hyperlink ref="I1" location="Summary!A1" display="Summary Page"/>
  </hyperlink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5"/>
  <sheetViews>
    <sheetView workbookViewId="0">
      <pane ySplit="2" topLeftCell="A67" activePane="bottomLeft" state="frozen"/>
      <selection pane="bottomLeft" activeCell="A75" sqref="A75"/>
    </sheetView>
  </sheetViews>
  <sheetFormatPr defaultColWidth="8.85546875" defaultRowHeight="15" x14ac:dyDescent="0.25"/>
  <cols>
    <col min="1" max="1" width="10.42578125" bestFit="1" customWidth="1"/>
    <col min="2" max="2" width="10.42578125" style="2" bestFit="1" customWidth="1"/>
    <col min="3" max="3" width="12" customWidth="1"/>
    <col min="4" max="4" width="12.85546875" customWidth="1"/>
    <col min="5" max="5" width="20.85546875" bestFit="1" customWidth="1"/>
    <col min="6" max="6" width="10.140625" customWidth="1"/>
  </cols>
  <sheetData>
    <row r="1" spans="1:7" x14ac:dyDescent="0.25">
      <c r="A1" t="s">
        <v>33</v>
      </c>
      <c r="B1"/>
      <c r="E1" s="6" t="s">
        <v>34</v>
      </c>
      <c r="G1" s="6" t="s">
        <v>4</v>
      </c>
    </row>
    <row r="2" spans="1:7" s="5" customFormat="1" ht="29.25" customHeight="1" x14ac:dyDescent="0.25">
      <c r="A2" s="4" t="s">
        <v>35</v>
      </c>
      <c r="B2" s="4" t="s">
        <v>0</v>
      </c>
      <c r="C2" s="4" t="s">
        <v>223</v>
      </c>
      <c r="D2" s="4" t="s">
        <v>2</v>
      </c>
      <c r="E2" s="4" t="s">
        <v>1</v>
      </c>
    </row>
    <row r="3" spans="1:7" x14ac:dyDescent="0.25">
      <c r="A3" s="10">
        <v>1309</v>
      </c>
      <c r="B3" s="2">
        <v>43147</v>
      </c>
      <c r="C3" t="s">
        <v>224</v>
      </c>
      <c r="D3" t="s">
        <v>140</v>
      </c>
      <c r="E3" t="s">
        <v>15</v>
      </c>
    </row>
    <row r="4" spans="1:7" x14ac:dyDescent="0.25">
      <c r="A4" s="10">
        <v>1310</v>
      </c>
      <c r="B4" s="2">
        <v>43147</v>
      </c>
      <c r="C4" t="s">
        <v>224</v>
      </c>
      <c r="D4" t="s">
        <v>140</v>
      </c>
      <c r="E4" t="s">
        <v>31</v>
      </c>
    </row>
    <row r="5" spans="1:7" x14ac:dyDescent="0.25">
      <c r="A5" s="10">
        <v>1311</v>
      </c>
      <c r="B5" s="2">
        <v>43147</v>
      </c>
      <c r="C5" t="s">
        <v>224</v>
      </c>
      <c r="D5" t="s">
        <v>140</v>
      </c>
    </row>
    <row r="6" spans="1:7" x14ac:dyDescent="0.25">
      <c r="A6" s="10">
        <v>1312</v>
      </c>
      <c r="B6" s="2">
        <v>43147</v>
      </c>
      <c r="C6" t="s">
        <v>224</v>
      </c>
      <c r="D6" t="s">
        <v>140</v>
      </c>
    </row>
    <row r="7" spans="1:7" x14ac:dyDescent="0.25">
      <c r="A7" s="10">
        <v>1313</v>
      </c>
      <c r="B7" s="2">
        <v>43147</v>
      </c>
      <c r="C7" t="s">
        <v>224</v>
      </c>
      <c r="D7" t="s">
        <v>140</v>
      </c>
    </row>
    <row r="8" spans="1:7" x14ac:dyDescent="0.25">
      <c r="A8" s="10">
        <v>1402</v>
      </c>
      <c r="B8" s="2">
        <v>43147</v>
      </c>
      <c r="C8" t="s">
        <v>224</v>
      </c>
      <c r="D8" t="s">
        <v>140</v>
      </c>
    </row>
    <row r="9" spans="1:7" x14ac:dyDescent="0.25">
      <c r="A9" s="10">
        <v>1403</v>
      </c>
      <c r="B9" s="2">
        <v>43147</v>
      </c>
      <c r="C9" t="s">
        <v>224</v>
      </c>
      <c r="D9" t="s">
        <v>140</v>
      </c>
    </row>
    <row r="10" spans="1:7" x14ac:dyDescent="0.25">
      <c r="A10" s="10">
        <v>1404</v>
      </c>
      <c r="B10" s="2">
        <v>43147</v>
      </c>
      <c r="C10" t="s">
        <v>224</v>
      </c>
      <c r="D10" t="s">
        <v>140</v>
      </c>
    </row>
    <row r="11" spans="1:7" x14ac:dyDescent="0.25">
      <c r="A11" s="10">
        <v>1405</v>
      </c>
      <c r="B11" s="2">
        <v>43147</v>
      </c>
      <c r="C11" t="s">
        <v>224</v>
      </c>
      <c r="D11" t="s">
        <v>140</v>
      </c>
    </row>
    <row r="12" spans="1:7" x14ac:dyDescent="0.25">
      <c r="A12" s="10">
        <v>1406</v>
      </c>
      <c r="B12" s="2">
        <v>43147</v>
      </c>
      <c r="C12" t="s">
        <v>224</v>
      </c>
      <c r="D12" t="s">
        <v>140</v>
      </c>
    </row>
    <row r="13" spans="1:7" x14ac:dyDescent="0.25">
      <c r="A13" s="10">
        <v>1407</v>
      </c>
      <c r="B13" s="2">
        <v>43147</v>
      </c>
      <c r="C13" t="s">
        <v>224</v>
      </c>
      <c r="D13" t="s">
        <v>140</v>
      </c>
    </row>
    <row r="14" spans="1:7" x14ac:dyDescent="0.25">
      <c r="A14" s="10">
        <v>1408</v>
      </c>
      <c r="B14" s="2">
        <v>43147</v>
      </c>
      <c r="C14" t="s">
        <v>224</v>
      </c>
      <c r="D14" t="s">
        <v>140</v>
      </c>
    </row>
    <row r="15" spans="1:7" x14ac:dyDescent="0.25">
      <c r="A15" s="10">
        <v>1409</v>
      </c>
      <c r="B15" s="2">
        <v>43147</v>
      </c>
      <c r="C15" t="s">
        <v>224</v>
      </c>
      <c r="D15" t="s">
        <v>140</v>
      </c>
    </row>
    <row r="16" spans="1:7" x14ac:dyDescent="0.25">
      <c r="A16" s="10">
        <v>1410</v>
      </c>
      <c r="B16" s="2">
        <v>43147</v>
      </c>
      <c r="C16" t="s">
        <v>224</v>
      </c>
      <c r="D16" t="s">
        <v>140</v>
      </c>
    </row>
    <row r="17" spans="1:6" x14ac:dyDescent="0.25">
      <c r="A17" s="10">
        <v>1411</v>
      </c>
      <c r="B17" s="2">
        <v>43147</v>
      </c>
      <c r="C17" t="s">
        <v>224</v>
      </c>
      <c r="D17" t="s">
        <v>140</v>
      </c>
    </row>
    <row r="18" spans="1:6" x14ac:dyDescent="0.25">
      <c r="A18" s="10">
        <v>1412</v>
      </c>
      <c r="B18" s="2">
        <v>43147</v>
      </c>
      <c r="C18" t="s">
        <v>224</v>
      </c>
      <c r="D18" t="s">
        <v>140</v>
      </c>
    </row>
    <row r="19" spans="1:6" x14ac:dyDescent="0.25">
      <c r="A19" s="10">
        <v>1501</v>
      </c>
      <c r="B19" s="2">
        <v>43147</v>
      </c>
      <c r="C19" t="s">
        <v>224</v>
      </c>
      <c r="D19" t="s">
        <v>140</v>
      </c>
    </row>
    <row r="20" spans="1:6" x14ac:dyDescent="0.25">
      <c r="A20" s="10">
        <v>1502</v>
      </c>
      <c r="B20" s="2">
        <v>43147</v>
      </c>
      <c r="C20" t="s">
        <v>224</v>
      </c>
      <c r="D20" t="s">
        <v>140</v>
      </c>
    </row>
    <row r="21" spans="1:6" x14ac:dyDescent="0.25">
      <c r="A21" s="10">
        <v>1503</v>
      </c>
      <c r="B21" s="2">
        <v>43147</v>
      </c>
      <c r="C21" t="s">
        <v>224</v>
      </c>
      <c r="D21" t="s">
        <v>140</v>
      </c>
    </row>
    <row r="22" spans="1:6" x14ac:dyDescent="0.25">
      <c r="A22" s="10">
        <v>1504</v>
      </c>
      <c r="B22" s="2">
        <v>43147</v>
      </c>
      <c r="C22" t="s">
        <v>224</v>
      </c>
      <c r="D22" t="s">
        <v>140</v>
      </c>
    </row>
    <row r="23" spans="1:6" x14ac:dyDescent="0.25">
      <c r="A23" s="10">
        <v>1505</v>
      </c>
      <c r="B23" s="2">
        <v>43147</v>
      </c>
      <c r="C23" t="s">
        <v>224</v>
      </c>
      <c r="D23" t="s">
        <v>140</v>
      </c>
    </row>
    <row r="24" spans="1:6" x14ac:dyDescent="0.25">
      <c r="A24" s="10">
        <v>1506</v>
      </c>
      <c r="B24" s="2">
        <v>43147</v>
      </c>
      <c r="C24" t="s">
        <v>224</v>
      </c>
      <c r="D24" t="s">
        <v>140</v>
      </c>
    </row>
    <row r="25" spans="1:6" x14ac:dyDescent="0.25">
      <c r="A25" s="10">
        <v>1507</v>
      </c>
      <c r="B25" s="2">
        <v>43147</v>
      </c>
      <c r="C25" t="s">
        <v>224</v>
      </c>
      <c r="D25" t="s">
        <v>140</v>
      </c>
    </row>
    <row r="26" spans="1:6" x14ac:dyDescent="0.25">
      <c r="A26" s="10">
        <v>1508</v>
      </c>
      <c r="B26" s="2">
        <v>43147</v>
      </c>
      <c r="C26" t="s">
        <v>224</v>
      </c>
      <c r="D26" t="s">
        <v>140</v>
      </c>
      <c r="F26" s="3"/>
    </row>
    <row r="27" spans="1:6" x14ac:dyDescent="0.25">
      <c r="A27" s="10">
        <v>1509</v>
      </c>
      <c r="B27" s="2">
        <v>43147</v>
      </c>
      <c r="C27" t="s">
        <v>224</v>
      </c>
      <c r="D27" t="s">
        <v>140</v>
      </c>
    </row>
    <row r="28" spans="1:6" x14ac:dyDescent="0.25">
      <c r="A28" s="10">
        <v>1510</v>
      </c>
      <c r="B28" s="2">
        <v>43147</v>
      </c>
      <c r="C28" t="s">
        <v>224</v>
      </c>
      <c r="D28" t="s">
        <v>140</v>
      </c>
    </row>
    <row r="29" spans="1:6" x14ac:dyDescent="0.25">
      <c r="A29" s="10">
        <v>1511</v>
      </c>
      <c r="B29" s="2">
        <v>43147</v>
      </c>
      <c r="C29" t="s">
        <v>224</v>
      </c>
      <c r="D29" t="s">
        <v>140</v>
      </c>
    </row>
    <row r="30" spans="1:6" x14ac:dyDescent="0.25">
      <c r="A30" s="10">
        <v>1512</v>
      </c>
      <c r="B30" s="2">
        <v>43147</v>
      </c>
      <c r="C30" t="s">
        <v>224</v>
      </c>
      <c r="D30" t="s">
        <v>140</v>
      </c>
    </row>
    <row r="31" spans="1:6" x14ac:dyDescent="0.25">
      <c r="A31" s="10">
        <v>1601</v>
      </c>
      <c r="B31" s="2">
        <v>43147</v>
      </c>
      <c r="C31" t="s">
        <v>224</v>
      </c>
      <c r="D31" t="s">
        <v>140</v>
      </c>
    </row>
    <row r="32" spans="1:6" x14ac:dyDescent="0.25">
      <c r="A32" s="10">
        <v>1602</v>
      </c>
      <c r="B32" s="2">
        <v>43147</v>
      </c>
      <c r="C32" t="s">
        <v>224</v>
      </c>
      <c r="D32" t="s">
        <v>140</v>
      </c>
    </row>
    <row r="33" spans="1:4" x14ac:dyDescent="0.25">
      <c r="A33" s="10">
        <v>1603</v>
      </c>
      <c r="B33" s="2">
        <v>43147</v>
      </c>
      <c r="C33" t="s">
        <v>224</v>
      </c>
      <c r="D33" t="s">
        <v>140</v>
      </c>
    </row>
    <row r="34" spans="1:4" x14ac:dyDescent="0.25">
      <c r="A34" s="10">
        <v>1604</v>
      </c>
      <c r="B34" s="2">
        <v>43147</v>
      </c>
      <c r="C34" t="s">
        <v>224</v>
      </c>
      <c r="D34" t="s">
        <v>140</v>
      </c>
    </row>
    <row r="35" spans="1:4" x14ac:dyDescent="0.25">
      <c r="A35" s="10">
        <v>1605</v>
      </c>
      <c r="B35" s="2">
        <v>43147</v>
      </c>
      <c r="C35" t="s">
        <v>224</v>
      </c>
      <c r="D35" t="s">
        <v>140</v>
      </c>
    </row>
    <row r="36" spans="1:4" x14ac:dyDescent="0.25">
      <c r="A36" s="10">
        <v>1606</v>
      </c>
      <c r="B36" s="2">
        <v>43147</v>
      </c>
      <c r="C36" t="s">
        <v>224</v>
      </c>
      <c r="D36" t="s">
        <v>140</v>
      </c>
    </row>
    <row r="37" spans="1:4" x14ac:dyDescent="0.25">
      <c r="A37" s="10">
        <v>1607</v>
      </c>
      <c r="B37" s="2">
        <v>43147</v>
      </c>
      <c r="C37" t="s">
        <v>224</v>
      </c>
      <c r="D37" t="s">
        <v>140</v>
      </c>
    </row>
    <row r="38" spans="1:4" x14ac:dyDescent="0.25">
      <c r="A38" s="10">
        <v>1608</v>
      </c>
      <c r="B38" s="2">
        <v>43147</v>
      </c>
      <c r="C38" t="s">
        <v>224</v>
      </c>
      <c r="D38" t="s">
        <v>140</v>
      </c>
    </row>
    <row r="39" spans="1:4" x14ac:dyDescent="0.25">
      <c r="A39" s="10">
        <v>1609</v>
      </c>
      <c r="B39" s="2">
        <v>43147</v>
      </c>
      <c r="C39" t="s">
        <v>224</v>
      </c>
      <c r="D39" t="s">
        <v>140</v>
      </c>
    </row>
    <row r="40" spans="1:4" x14ac:dyDescent="0.25">
      <c r="A40" s="10">
        <v>1610</v>
      </c>
      <c r="B40" s="2">
        <v>43147</v>
      </c>
      <c r="C40" t="s">
        <v>224</v>
      </c>
      <c r="D40" t="s">
        <v>140</v>
      </c>
    </row>
    <row r="41" spans="1:4" x14ac:dyDescent="0.25">
      <c r="A41" s="10">
        <v>1611</v>
      </c>
      <c r="B41" s="2">
        <v>43147</v>
      </c>
      <c r="C41" t="s">
        <v>224</v>
      </c>
      <c r="D41" t="s">
        <v>140</v>
      </c>
    </row>
    <row r="42" spans="1:4" x14ac:dyDescent="0.25">
      <c r="A42" s="10">
        <v>1612</v>
      </c>
      <c r="B42" s="2">
        <v>43147</v>
      </c>
      <c r="C42" t="s">
        <v>224</v>
      </c>
      <c r="D42" t="s">
        <v>140</v>
      </c>
    </row>
    <row r="43" spans="1:4" x14ac:dyDescent="0.25">
      <c r="A43" s="10">
        <v>1701</v>
      </c>
      <c r="B43" s="2">
        <v>43147</v>
      </c>
      <c r="C43" t="s">
        <v>224</v>
      </c>
      <c r="D43" t="s">
        <v>140</v>
      </c>
    </row>
    <row r="44" spans="1:4" x14ac:dyDescent="0.25">
      <c r="A44" s="10">
        <v>1702</v>
      </c>
      <c r="B44" s="2">
        <v>43147</v>
      </c>
      <c r="C44" t="s">
        <v>224</v>
      </c>
      <c r="D44" t="s">
        <v>140</v>
      </c>
    </row>
    <row r="45" spans="1:4" x14ac:dyDescent="0.25">
      <c r="A45" s="10">
        <v>1703</v>
      </c>
      <c r="B45" s="2">
        <v>43147</v>
      </c>
      <c r="C45" t="s">
        <v>224</v>
      </c>
      <c r="D45" t="s">
        <v>140</v>
      </c>
    </row>
    <row r="46" spans="1:4" x14ac:dyDescent="0.25">
      <c r="A46" s="10">
        <v>1704</v>
      </c>
      <c r="B46" s="2">
        <v>43147</v>
      </c>
      <c r="C46" t="s">
        <v>224</v>
      </c>
      <c r="D46" t="s">
        <v>140</v>
      </c>
    </row>
    <row r="47" spans="1:4" x14ac:dyDescent="0.25">
      <c r="A47" s="10">
        <v>1705</v>
      </c>
      <c r="B47" s="2">
        <v>43147</v>
      </c>
      <c r="C47" t="s">
        <v>224</v>
      </c>
      <c r="D47" t="s">
        <v>140</v>
      </c>
    </row>
    <row r="48" spans="1:4" x14ac:dyDescent="0.25">
      <c r="A48" s="10">
        <v>1706</v>
      </c>
      <c r="B48" s="2">
        <v>43147</v>
      </c>
      <c r="C48" t="s">
        <v>224</v>
      </c>
      <c r="D48" t="s">
        <v>140</v>
      </c>
    </row>
    <row r="49" spans="1:5" x14ac:dyDescent="0.25">
      <c r="A49" s="10">
        <v>1707</v>
      </c>
      <c r="B49" s="2">
        <v>43147</v>
      </c>
      <c r="C49" t="s">
        <v>224</v>
      </c>
      <c r="D49" t="s">
        <v>140</v>
      </c>
    </row>
    <row r="50" spans="1:5" x14ac:dyDescent="0.25">
      <c r="A50" s="10">
        <v>1708</v>
      </c>
      <c r="B50" s="2">
        <v>43147</v>
      </c>
      <c r="C50" t="s">
        <v>224</v>
      </c>
      <c r="D50" t="s">
        <v>140</v>
      </c>
    </row>
    <row r="51" spans="1:5" x14ac:dyDescent="0.25">
      <c r="A51" s="10">
        <v>1709</v>
      </c>
      <c r="B51" s="2">
        <v>43147</v>
      </c>
      <c r="C51" t="s">
        <v>224</v>
      </c>
      <c r="D51" t="s">
        <v>140</v>
      </c>
    </row>
    <row r="52" spans="1:5" x14ac:dyDescent="0.25">
      <c r="A52" s="10">
        <v>1710</v>
      </c>
      <c r="B52" s="2">
        <v>43147</v>
      </c>
      <c r="C52" t="s">
        <v>224</v>
      </c>
      <c r="D52" t="s">
        <v>140</v>
      </c>
    </row>
    <row r="53" spans="1:5" x14ac:dyDescent="0.25">
      <c r="A53" s="10">
        <v>1711</v>
      </c>
      <c r="B53" s="2">
        <v>43147</v>
      </c>
      <c r="C53" t="s">
        <v>224</v>
      </c>
      <c r="D53" t="s">
        <v>140</v>
      </c>
    </row>
    <row r="54" spans="1:5" x14ac:dyDescent="0.25">
      <c r="A54" s="10">
        <v>1712</v>
      </c>
      <c r="B54" s="2">
        <v>43147</v>
      </c>
      <c r="C54" t="s">
        <v>224</v>
      </c>
      <c r="D54" t="s">
        <v>140</v>
      </c>
    </row>
    <row r="55" spans="1:5" x14ac:dyDescent="0.25">
      <c r="A55" s="10">
        <v>1801</v>
      </c>
      <c r="B55" s="2">
        <v>43147</v>
      </c>
      <c r="C55" t="s">
        <v>224</v>
      </c>
      <c r="D55" t="s">
        <v>140</v>
      </c>
    </row>
    <row r="56" spans="1:5" x14ac:dyDescent="0.25">
      <c r="A56" s="10">
        <v>1802</v>
      </c>
      <c r="B56" s="2">
        <v>43165</v>
      </c>
      <c r="C56" t="s">
        <v>224</v>
      </c>
      <c r="D56" t="s">
        <v>13</v>
      </c>
    </row>
    <row r="57" spans="1:5" x14ac:dyDescent="0.25">
      <c r="A57">
        <v>1802</v>
      </c>
      <c r="B57" s="2">
        <v>43180</v>
      </c>
      <c r="C57" t="s">
        <v>227</v>
      </c>
    </row>
    <row r="58" spans="1:5" x14ac:dyDescent="0.25">
      <c r="A58" s="11" t="str">
        <f>HYPERLINK("#'Sheet59'!A1","1902")</f>
        <v>1902</v>
      </c>
      <c r="B58" s="2">
        <v>43531</v>
      </c>
      <c r="C58" t="s">
        <v>343</v>
      </c>
      <c r="D58" t="s">
        <v>13</v>
      </c>
    </row>
    <row r="59" spans="1:5" x14ac:dyDescent="0.25">
      <c r="A59" s="11" t="str">
        <f>HYPERLINK("#'Sheet60'!A1","1806")</f>
        <v>1806</v>
      </c>
      <c r="B59" s="2">
        <v>43261</v>
      </c>
      <c r="C59" t="s">
        <v>224</v>
      </c>
      <c r="D59" t="s">
        <v>145</v>
      </c>
    </row>
    <row r="60" spans="1:5" x14ac:dyDescent="0.25">
      <c r="A60" s="11" t="str">
        <f>HYPERLINK("#'Sheet61'!A1","1806")</f>
        <v>1806</v>
      </c>
      <c r="B60" s="2">
        <v>43261</v>
      </c>
      <c r="C60" t="s">
        <v>224</v>
      </c>
      <c r="D60" t="s">
        <v>145</v>
      </c>
    </row>
    <row r="61" spans="1:5" x14ac:dyDescent="0.25">
      <c r="A61" s="11" t="str">
        <f>HYPERLINK("#'Sheet62'!A1","1804")</f>
        <v>1804</v>
      </c>
      <c r="B61" s="2">
        <v>43271</v>
      </c>
      <c r="C61" t="s">
        <v>224</v>
      </c>
      <c r="D61" t="s">
        <v>140</v>
      </c>
      <c r="E61" t="s">
        <v>290</v>
      </c>
    </row>
    <row r="62" spans="1:5" x14ac:dyDescent="0.25">
      <c r="A62" s="11" t="str">
        <f>HYPERLINK("#'Sheet63'!A1","1805")</f>
        <v>1805</v>
      </c>
      <c r="B62" s="2">
        <v>43271</v>
      </c>
      <c r="C62" t="s">
        <v>224</v>
      </c>
      <c r="D62" t="s">
        <v>140</v>
      </c>
      <c r="E62" t="s">
        <v>289</v>
      </c>
    </row>
    <row r="63" spans="1:5" x14ac:dyDescent="0.25">
      <c r="A63" s="11" t="str">
        <f>HYPERLINK("#'Sheet64'!A1","1806")</f>
        <v>1806</v>
      </c>
      <c r="B63" s="2">
        <v>43293</v>
      </c>
      <c r="C63" t="s">
        <v>224</v>
      </c>
      <c r="D63" t="s">
        <v>145</v>
      </c>
    </row>
    <row r="64" spans="1:5" x14ac:dyDescent="0.25">
      <c r="A64" s="11" t="str">
        <f>HYPERLINK("#'Sheet65'!A1","1807")</f>
        <v>1807</v>
      </c>
      <c r="B64" s="2">
        <v>43320</v>
      </c>
      <c r="C64" t="s">
        <v>227</v>
      </c>
      <c r="D64" t="s">
        <v>145</v>
      </c>
    </row>
    <row r="65" spans="1:5" x14ac:dyDescent="0.25">
      <c r="A65" s="11" t="str">
        <f>HYPERLINK("#'Sheet66'!A1","1808")</f>
        <v>1808</v>
      </c>
      <c r="B65" s="2">
        <v>43350</v>
      </c>
      <c r="C65" t="s">
        <v>224</v>
      </c>
      <c r="D65" t="s">
        <v>145</v>
      </c>
    </row>
    <row r="66" spans="1:5" x14ac:dyDescent="0.25">
      <c r="A66" s="11" t="str">
        <f>HYPERLINK("#'Sheet67'!A1","1809")</f>
        <v>1809</v>
      </c>
      <c r="B66" s="2">
        <v>43392</v>
      </c>
      <c r="C66" t="s">
        <v>224</v>
      </c>
      <c r="D66" t="s">
        <v>145</v>
      </c>
    </row>
    <row r="67" spans="1:5" x14ac:dyDescent="0.25">
      <c r="A67" s="11" t="str">
        <f>HYPERLINK("#'Sheet68'!A1","1810")</f>
        <v>1810</v>
      </c>
      <c r="B67" s="2">
        <v>43411</v>
      </c>
      <c r="C67" t="s">
        <v>224</v>
      </c>
      <c r="D67" t="s">
        <v>145</v>
      </c>
    </row>
    <row r="68" spans="1:5" x14ac:dyDescent="0.25">
      <c r="A68" s="11" t="str">
        <f>HYPERLINK("#'Sheet69'!A1","1811")</f>
        <v>1811</v>
      </c>
      <c r="B68" s="2">
        <v>43439</v>
      </c>
      <c r="C68" t="s">
        <v>224</v>
      </c>
      <c r="D68" t="s">
        <v>145</v>
      </c>
    </row>
    <row r="69" spans="1:5" x14ac:dyDescent="0.25">
      <c r="A69" s="11" t="str">
        <f>HYPERLINK("#'Sheet70'!A1","1901")</f>
        <v>1901</v>
      </c>
      <c r="B69" s="2">
        <v>43499</v>
      </c>
      <c r="C69" t="s">
        <v>227</v>
      </c>
      <c r="D69" t="s">
        <v>39</v>
      </c>
    </row>
    <row r="70" spans="1:5" x14ac:dyDescent="0.25">
      <c r="A70" s="11">
        <v>1902</v>
      </c>
      <c r="B70" s="2">
        <v>43526</v>
      </c>
      <c r="C70" t="s">
        <v>343</v>
      </c>
      <c r="D70" t="s">
        <v>145</v>
      </c>
    </row>
    <row r="71" spans="1:5" x14ac:dyDescent="0.25">
      <c r="A71" s="11" t="str">
        <f>HYPERLINK("#'Sheet72'!A1","1906")</f>
        <v>1906</v>
      </c>
      <c r="B71" s="2">
        <v>43654</v>
      </c>
      <c r="C71" t="s">
        <v>343</v>
      </c>
      <c r="D71" t="s">
        <v>145</v>
      </c>
    </row>
    <row r="72" spans="1:5" x14ac:dyDescent="0.25">
      <c r="A72" s="11" t="str">
        <f>HYPERLINK("#'Sheet73'!A1","1904")</f>
        <v>1904</v>
      </c>
      <c r="B72" s="2">
        <v>43630</v>
      </c>
      <c r="C72" t="s">
        <v>224</v>
      </c>
      <c r="D72" t="s">
        <v>334</v>
      </c>
    </row>
    <row r="73" spans="1:5" x14ac:dyDescent="0.25">
      <c r="A73" s="11" t="str">
        <f>HYPERLINK("#'Sheet74'!A1","1905")</f>
        <v>1905</v>
      </c>
      <c r="B73" s="2">
        <v>43630</v>
      </c>
      <c r="C73" t="s">
        <v>224</v>
      </c>
      <c r="D73" t="s">
        <v>334</v>
      </c>
    </row>
    <row r="74" spans="1:5" x14ac:dyDescent="0.25">
      <c r="A74" s="11">
        <v>1906</v>
      </c>
      <c r="B74" s="2">
        <v>43654</v>
      </c>
      <c r="C74" t="s">
        <v>343</v>
      </c>
      <c r="D74" t="s">
        <v>145</v>
      </c>
    </row>
    <row r="75" spans="1:5" x14ac:dyDescent="0.25">
      <c r="A75">
        <v>1907</v>
      </c>
      <c r="B75" s="2">
        <v>43700</v>
      </c>
      <c r="C75" t="s">
        <v>362</v>
      </c>
      <c r="D75" t="s">
        <v>145</v>
      </c>
      <c r="E75" t="s">
        <v>363</v>
      </c>
    </row>
  </sheetData>
  <hyperlinks>
    <hyperlink ref="E1" location="TEMPLATE!A1" display="Create a New Flight!"/>
    <hyperlink ref="A3" location="Accept1309!A1" display="Accept1309!A1"/>
    <hyperlink ref="A4" location="Accept1310!A1" display="Accept1310!A1"/>
    <hyperlink ref="A5" location="Accept1311!A1" display="Accept1311!A1"/>
    <hyperlink ref="A6" location="Accept1312!A1" display="Accept1312!A1"/>
    <hyperlink ref="A7" location="Accept1313!A1" display="Accept1313!A1"/>
    <hyperlink ref="A8" location="Accept1402!A1" display="Accept1402!A1"/>
    <hyperlink ref="A9" location="Accept1403!A1" display="Accept1403!A1"/>
    <hyperlink ref="A10" location="Accept1404!A1" display="Accept1404!A1"/>
    <hyperlink ref="A11" location="Accept1405!A1" display="Accept1405!A1"/>
    <hyperlink ref="A12" location="Accept1406!A1" display="Accept1406!A1"/>
    <hyperlink ref="A13" location="Accept1407!A1" display="Accept1407!A1"/>
    <hyperlink ref="A14" location="Accept1408!A1" display="Accept1408!A1"/>
    <hyperlink ref="A15" location="Accept1409!A1" display="Accept1409!A1"/>
    <hyperlink ref="A16" location="Accept1410!A1" display="Accept1410!A1"/>
    <hyperlink ref="A17" location="Accept1411!A1" display="Accept1411!A1"/>
    <hyperlink ref="A18" location="Accept1412!A1" display="Accept1412!A1"/>
    <hyperlink ref="A19" location="Accept1501!A1" display="Accept1501!A1"/>
    <hyperlink ref="A20" location="Accept1502!A1" display="Accept1502!A1"/>
    <hyperlink ref="A21" location="Accept1503!A1" display="Accept1503!A1"/>
    <hyperlink ref="A22" location="Accept1504!A1" display="Accept1504!A1"/>
    <hyperlink ref="A23" location="Accept1505!A1" display="Accept1505!A1"/>
    <hyperlink ref="A24" location="Accept1506!A1" display="Accept1506!A1"/>
    <hyperlink ref="A25" location="Accept1507!A1" display="Accept1507!A1"/>
    <hyperlink ref="A26" location="Accept1508!A1" display="Accept1508!A1"/>
    <hyperlink ref="A27" location="Accept1509!A1" display="Accept1509!A1"/>
    <hyperlink ref="A28" location="Accept1510!A1" display="Accept1510!A1"/>
    <hyperlink ref="A29" location="Accept1511!A1" display="Accept1511!A1"/>
    <hyperlink ref="A30" location="Accept1512!A1" display="Accept1512!A1"/>
    <hyperlink ref="A31" location="Accept1601!A1" display="Accept1601!A1"/>
    <hyperlink ref="A32" location="Accept1602!A1" display="Accept1602!A1"/>
    <hyperlink ref="A33" location="Accept1603!A1" display="Accept1603!A1"/>
    <hyperlink ref="A34" location="Accept1604!A1" display="Accept1604!A1"/>
    <hyperlink ref="A35" location="Accept1605!A1" display="Accept1605!A1"/>
    <hyperlink ref="A36" location="Accept1606!A1" display="Accept1606!A1"/>
    <hyperlink ref="A37" location="Accept1607!A1" display="Accept1607!A1"/>
    <hyperlink ref="A38" location="Accept1608!A1" display="Accept1608!A1"/>
    <hyperlink ref="A39" location="Accept1609!A1" display="Accept1609!A1"/>
    <hyperlink ref="A40" location="Accept1610!A1" display="Accept1610!A1"/>
    <hyperlink ref="A41" location="Accept1611!A1" display="Accept1611!A1"/>
    <hyperlink ref="A42" location="Accept1612!A1" display="Accept1612!A1"/>
    <hyperlink ref="A43" location="Accept1701!A1" display="Accept1701!A1"/>
    <hyperlink ref="A44" location="Accept1702!A1" display="Accept1702!A1"/>
    <hyperlink ref="A45" location="Accept1703!A1" display="Accept1703!A1"/>
    <hyperlink ref="A46" location="Accept1704!A1" display="Accept1704!A1"/>
    <hyperlink ref="A47" location="Accept1705!A1" display="Accept1705!A1"/>
    <hyperlink ref="A48" location="Accept1706!A1" display="Accept1706!A1"/>
    <hyperlink ref="A49" location="Accept1707!A1" display="Accept1707!A1"/>
    <hyperlink ref="A50" location="Accept1708!A1" display="Accept1708!A1"/>
    <hyperlink ref="A51" location="Accept1709!A1" display="Accept1709!A1"/>
    <hyperlink ref="A52" location="Accept1710!A1" display="Accept1710!A1"/>
    <hyperlink ref="A53" location="Accept1711!A1" display="Accept1711!A1"/>
    <hyperlink ref="A54" location="Accept1712!A1" display="Accept1712!A1"/>
    <hyperlink ref="A55" location="Accept1801!A1" display="Accept1801!A1"/>
    <hyperlink ref="G1" location="Summary!A1" display="Summary Page"/>
    <hyperlink ref="A56" location="Accept1802!A1" display="Accept1802!A1"/>
    <hyperlink ref="A70" location="Sheet70!A1" display="Sheet70!A1"/>
    <hyperlink ref="A74" location="'1906'!A1" display="'1906'!A1"/>
  </hyperlink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2"/>
  <sheetViews>
    <sheetView workbookViewId="0"/>
  </sheetViews>
  <sheetFormatPr defaultColWidth="8.85546875" defaultRowHeight="15" x14ac:dyDescent="0.25"/>
  <cols>
    <col min="1" max="1" width="15.7109375" style="9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5" x14ac:dyDescent="0.25">
      <c r="A1" s="9" t="s">
        <v>36</v>
      </c>
      <c r="B1" t="s">
        <v>45</v>
      </c>
      <c r="C1" t="s">
        <v>46</v>
      </c>
      <c r="D1" t="s">
        <v>47</v>
      </c>
      <c r="E1" s="6" t="s">
        <v>4</v>
      </c>
    </row>
    <row r="2" spans="1:5" x14ac:dyDescent="0.25">
      <c r="A2" s="9" t="s">
        <v>37</v>
      </c>
      <c r="B2">
        <v>2</v>
      </c>
      <c r="C2">
        <v>2.5</v>
      </c>
      <c r="D2">
        <v>5</v>
      </c>
    </row>
    <row r="3" spans="1:5" x14ac:dyDescent="0.25">
      <c r="A3" s="9" t="s">
        <v>38</v>
      </c>
      <c r="B3">
        <v>1</v>
      </c>
      <c r="C3">
        <v>2</v>
      </c>
      <c r="D3">
        <v>2</v>
      </c>
    </row>
    <row r="4" spans="1:5" x14ac:dyDescent="0.25">
      <c r="A4" s="9" t="s">
        <v>39</v>
      </c>
      <c r="B4">
        <v>3</v>
      </c>
      <c r="C4">
        <v>2.3333333333333335</v>
      </c>
      <c r="D4">
        <v>7</v>
      </c>
    </row>
    <row r="5" spans="1:5" x14ac:dyDescent="0.25">
      <c r="A5" s="9" t="s">
        <v>40</v>
      </c>
      <c r="B5">
        <v>1</v>
      </c>
      <c r="C5">
        <v>2</v>
      </c>
      <c r="D5">
        <v>2</v>
      </c>
    </row>
    <row r="6" spans="1:5" x14ac:dyDescent="0.25">
      <c r="A6" s="9" t="s">
        <v>41</v>
      </c>
      <c r="B6">
        <v>2</v>
      </c>
      <c r="C6">
        <v>3.5</v>
      </c>
      <c r="D6">
        <v>7</v>
      </c>
    </row>
    <row r="7" spans="1:5" x14ac:dyDescent="0.25">
      <c r="A7" s="9" t="s">
        <v>42</v>
      </c>
      <c r="B7">
        <v>1</v>
      </c>
      <c r="C7">
        <v>2</v>
      </c>
      <c r="D7">
        <v>2</v>
      </c>
    </row>
    <row r="8" spans="1:5" x14ac:dyDescent="0.25">
      <c r="A8" s="9" t="s">
        <v>43</v>
      </c>
      <c r="B8">
        <v>1</v>
      </c>
      <c r="C8">
        <v>2</v>
      </c>
      <c r="D8">
        <v>2</v>
      </c>
    </row>
    <row r="9" spans="1:5" x14ac:dyDescent="0.25">
      <c r="A9" s="9" t="s">
        <v>44</v>
      </c>
      <c r="B9">
        <v>1</v>
      </c>
      <c r="C9">
        <v>2</v>
      </c>
      <c r="D9">
        <v>2</v>
      </c>
    </row>
    <row r="10" spans="1:5" x14ac:dyDescent="0.25">
      <c r="A10" s="9" t="str">
        <f t="shared" ref="A10:A42" ca="1" si="0">IF(INDIRECT("b"&amp;ROW())&lt;&gt;"",IF(INDIRECT("a"&amp;ROW())="",NOW(),INDIRECT("a"&amp;ROW())),"")</f>
        <v/>
      </c>
    </row>
    <row r="11" spans="1:5" x14ac:dyDescent="0.25">
      <c r="A11" s="9" t="str">
        <f t="shared" ca="1" si="0"/>
        <v/>
      </c>
    </row>
    <row r="12" spans="1:5" x14ac:dyDescent="0.25">
      <c r="A12" s="9" t="str">
        <f t="shared" ca="1" si="0"/>
        <v/>
      </c>
    </row>
    <row r="13" spans="1:5" x14ac:dyDescent="0.25">
      <c r="A13" s="9" t="str">
        <f t="shared" ca="1" si="0"/>
        <v/>
      </c>
    </row>
    <row r="14" spans="1:5" x14ac:dyDescent="0.25">
      <c r="A14" s="9" t="str">
        <f t="shared" ca="1" si="0"/>
        <v/>
      </c>
    </row>
    <row r="15" spans="1:5" x14ac:dyDescent="0.25">
      <c r="A15" s="9" t="str">
        <f t="shared" ca="1" si="0"/>
        <v/>
      </c>
    </row>
    <row r="16" spans="1:5" x14ac:dyDescent="0.25">
      <c r="A16" s="9" t="str">
        <f t="shared" ca="1" si="0"/>
        <v/>
      </c>
    </row>
    <row r="17" spans="1:1" x14ac:dyDescent="0.25">
      <c r="A17" s="9" t="str">
        <f t="shared" ca="1" si="0"/>
        <v/>
      </c>
    </row>
    <row r="18" spans="1:1" x14ac:dyDescent="0.25">
      <c r="A18" s="9" t="str">
        <f t="shared" ca="1" si="0"/>
        <v/>
      </c>
    </row>
    <row r="19" spans="1:1" x14ac:dyDescent="0.25">
      <c r="A19" s="9" t="str">
        <f t="shared" ca="1" si="0"/>
        <v/>
      </c>
    </row>
    <row r="20" spans="1:1" x14ac:dyDescent="0.25">
      <c r="A20" s="9" t="str">
        <f t="shared" ca="1" si="0"/>
        <v/>
      </c>
    </row>
    <row r="21" spans="1:1" x14ac:dyDescent="0.25">
      <c r="A21" s="9" t="str">
        <f t="shared" ca="1" si="0"/>
        <v/>
      </c>
    </row>
    <row r="22" spans="1:1" x14ac:dyDescent="0.25">
      <c r="A22" s="9" t="str">
        <f t="shared" ca="1" si="0"/>
        <v/>
      </c>
    </row>
    <row r="23" spans="1:1" x14ac:dyDescent="0.25">
      <c r="A23" s="9" t="str">
        <f t="shared" ca="1" si="0"/>
        <v/>
      </c>
    </row>
    <row r="24" spans="1:1" x14ac:dyDescent="0.25">
      <c r="A24" s="9" t="str">
        <f t="shared" ca="1" si="0"/>
        <v/>
      </c>
    </row>
    <row r="25" spans="1:1" x14ac:dyDescent="0.25">
      <c r="A25" s="9" t="str">
        <f t="shared" ca="1" si="0"/>
        <v/>
      </c>
    </row>
    <row r="26" spans="1:1" x14ac:dyDescent="0.25">
      <c r="A26" s="9" t="str">
        <f t="shared" ca="1" si="0"/>
        <v/>
      </c>
    </row>
    <row r="27" spans="1:1" x14ac:dyDescent="0.25">
      <c r="A27" s="9" t="str">
        <f t="shared" ca="1" si="0"/>
        <v/>
      </c>
    </row>
    <row r="28" spans="1:1" x14ac:dyDescent="0.25">
      <c r="A28" s="9" t="str">
        <f t="shared" ca="1" si="0"/>
        <v/>
      </c>
    </row>
    <row r="29" spans="1:1" x14ac:dyDescent="0.25">
      <c r="A29" s="9" t="str">
        <f t="shared" ca="1" si="0"/>
        <v/>
      </c>
    </row>
    <row r="30" spans="1:1" x14ac:dyDescent="0.25">
      <c r="A30" s="9" t="str">
        <f t="shared" ca="1" si="0"/>
        <v/>
      </c>
    </row>
    <row r="31" spans="1:1" x14ac:dyDescent="0.25">
      <c r="A31" s="9" t="str">
        <f t="shared" ca="1" si="0"/>
        <v/>
      </c>
    </row>
    <row r="32" spans="1:1" x14ac:dyDescent="0.25">
      <c r="A32" s="9" t="str">
        <f t="shared" ca="1" si="0"/>
        <v/>
      </c>
    </row>
    <row r="33" spans="1:1" x14ac:dyDescent="0.25">
      <c r="A33" s="9" t="str">
        <f t="shared" ca="1" si="0"/>
        <v/>
      </c>
    </row>
    <row r="34" spans="1:1" x14ac:dyDescent="0.25">
      <c r="A34" s="9" t="str">
        <f t="shared" ca="1" si="0"/>
        <v/>
      </c>
    </row>
    <row r="35" spans="1:1" x14ac:dyDescent="0.25">
      <c r="A35" s="9" t="str">
        <f t="shared" ca="1" si="0"/>
        <v/>
      </c>
    </row>
    <row r="36" spans="1:1" x14ac:dyDescent="0.25">
      <c r="A36" s="9" t="str">
        <f t="shared" ca="1" si="0"/>
        <v/>
      </c>
    </row>
    <row r="37" spans="1:1" x14ac:dyDescent="0.25">
      <c r="A37" s="9" t="str">
        <f t="shared" ca="1" si="0"/>
        <v/>
      </c>
    </row>
    <row r="38" spans="1:1" x14ac:dyDescent="0.25">
      <c r="A38" s="9" t="str">
        <f t="shared" ca="1" si="0"/>
        <v/>
      </c>
    </row>
    <row r="39" spans="1:1" x14ac:dyDescent="0.25">
      <c r="A39" s="9" t="str">
        <f t="shared" ca="1" si="0"/>
        <v/>
      </c>
    </row>
    <row r="40" spans="1:1" x14ac:dyDescent="0.25">
      <c r="A40" s="9" t="str">
        <f t="shared" ca="1" si="0"/>
        <v/>
      </c>
    </row>
    <row r="41" spans="1:1" x14ac:dyDescent="0.25">
      <c r="A41" s="9" t="str">
        <f t="shared" ca="1" si="0"/>
        <v/>
      </c>
    </row>
    <row r="42" spans="1:1" x14ac:dyDescent="0.25">
      <c r="A42" s="9" t="str">
        <f t="shared" ca="1" si="0"/>
        <v/>
      </c>
    </row>
  </sheetData>
  <hyperlinks>
    <hyperlink ref="E1" location="Summary!A1" display="Summary Page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8"/>
  <sheetViews>
    <sheetView workbookViewId="0">
      <selection activeCell="E9" sqref="E9"/>
    </sheetView>
  </sheetViews>
  <sheetFormatPr defaultColWidth="8.85546875" defaultRowHeight="15" x14ac:dyDescent="0.25"/>
  <cols>
    <col min="1" max="1" width="15.85546875" style="9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5" x14ac:dyDescent="0.25">
      <c r="A1" s="9" t="s">
        <v>36</v>
      </c>
      <c r="B1" t="s">
        <v>45</v>
      </c>
      <c r="C1" t="s">
        <v>46</v>
      </c>
      <c r="D1" t="s">
        <v>47</v>
      </c>
      <c r="E1" s="6" t="s">
        <v>4</v>
      </c>
    </row>
    <row r="2" spans="1:5" x14ac:dyDescent="0.25">
      <c r="A2" s="9" t="s">
        <v>37</v>
      </c>
      <c r="B2">
        <v>4</v>
      </c>
      <c r="C2">
        <v>2.5</v>
      </c>
      <c r="D2">
        <v>10</v>
      </c>
    </row>
    <row r="3" spans="1:5" x14ac:dyDescent="0.25">
      <c r="A3" s="9" t="s">
        <v>38</v>
      </c>
      <c r="B3">
        <v>2</v>
      </c>
      <c r="C3">
        <v>3</v>
      </c>
      <c r="D3">
        <v>6</v>
      </c>
    </row>
    <row r="4" spans="1:5" x14ac:dyDescent="0.25">
      <c r="A4" s="9" t="s">
        <v>39</v>
      </c>
      <c r="B4">
        <v>1</v>
      </c>
      <c r="C4">
        <v>2</v>
      </c>
      <c r="D4">
        <v>2</v>
      </c>
    </row>
    <row r="5" spans="1:5" x14ac:dyDescent="0.25">
      <c r="A5" s="9" t="s">
        <v>48</v>
      </c>
      <c r="B5">
        <v>1</v>
      </c>
      <c r="C5">
        <v>5</v>
      </c>
      <c r="D5">
        <v>5</v>
      </c>
    </row>
    <row r="6" spans="1:5" x14ac:dyDescent="0.25">
      <c r="A6" s="9" t="s">
        <v>41</v>
      </c>
      <c r="B6">
        <v>2</v>
      </c>
      <c r="C6">
        <v>5</v>
      </c>
      <c r="D6">
        <v>10</v>
      </c>
    </row>
    <row r="7" spans="1:5" x14ac:dyDescent="0.25">
      <c r="A7" s="9" t="s">
        <v>42</v>
      </c>
      <c r="B7">
        <v>1</v>
      </c>
      <c r="C7">
        <v>3</v>
      </c>
      <c r="D7">
        <v>3</v>
      </c>
    </row>
    <row r="8" spans="1:5" x14ac:dyDescent="0.25">
      <c r="A8" s="9" t="s">
        <v>43</v>
      </c>
      <c r="B8">
        <v>1</v>
      </c>
      <c r="C8">
        <v>5</v>
      </c>
      <c r="D8">
        <v>5</v>
      </c>
    </row>
    <row r="9" spans="1:5" x14ac:dyDescent="0.25">
      <c r="A9" s="9" t="s">
        <v>49</v>
      </c>
      <c r="B9">
        <v>3</v>
      </c>
      <c r="C9">
        <v>1.6666666666666667</v>
      </c>
      <c r="D9">
        <v>5</v>
      </c>
    </row>
    <row r="10" spans="1:5" x14ac:dyDescent="0.25">
      <c r="A10" s="9" t="s">
        <v>44</v>
      </c>
      <c r="B10">
        <v>1</v>
      </c>
      <c r="C10">
        <v>3</v>
      </c>
      <c r="D10">
        <v>3</v>
      </c>
    </row>
    <row r="11" spans="1:5" x14ac:dyDescent="0.25">
      <c r="A11" s="9">
        <v>0.61576388888888889</v>
      </c>
      <c r="B11" t="s">
        <v>16</v>
      </c>
    </row>
    <row r="12" spans="1:5" x14ac:dyDescent="0.25">
      <c r="A12" s="9">
        <v>0.61587962962962961</v>
      </c>
      <c r="B12" t="s">
        <v>17</v>
      </c>
    </row>
    <row r="13" spans="1:5" x14ac:dyDescent="0.25">
      <c r="A13" s="9">
        <v>0.61594907407407407</v>
      </c>
      <c r="B13" t="s">
        <v>18</v>
      </c>
    </row>
    <row r="14" spans="1:5" x14ac:dyDescent="0.25">
      <c r="A14" s="9">
        <v>0.61601851851851852</v>
      </c>
      <c r="B14" t="s">
        <v>19</v>
      </c>
    </row>
    <row r="15" spans="1:5" x14ac:dyDescent="0.25">
      <c r="A15" s="9">
        <v>0.61671296296296296</v>
      </c>
      <c r="B15" t="s">
        <v>20</v>
      </c>
    </row>
    <row r="16" spans="1:5" x14ac:dyDescent="0.25">
      <c r="A16" s="9">
        <v>0.61673611111111104</v>
      </c>
      <c r="B16" t="s">
        <v>21</v>
      </c>
    </row>
    <row r="17" spans="1:2" x14ac:dyDescent="0.25">
      <c r="A17" s="9">
        <v>0.61728009259259264</v>
      </c>
      <c r="B17" t="s">
        <v>22</v>
      </c>
    </row>
    <row r="18" spans="1:2" x14ac:dyDescent="0.25">
      <c r="A18" s="9">
        <v>0.61731481481481476</v>
      </c>
      <c r="B18" t="s">
        <v>25</v>
      </c>
    </row>
    <row r="19" spans="1:2" x14ac:dyDescent="0.25">
      <c r="A19" s="9">
        <v>0.61781249999999999</v>
      </c>
      <c r="B19" t="s">
        <v>24</v>
      </c>
    </row>
    <row r="20" spans="1:2" x14ac:dyDescent="0.25">
      <c r="A20" s="9">
        <v>0.61788194444444444</v>
      </c>
      <c r="B20" t="s">
        <v>27</v>
      </c>
    </row>
    <row r="21" spans="1:2" x14ac:dyDescent="0.25">
      <c r="A21" s="9">
        <v>0.61831018518518521</v>
      </c>
      <c r="B21" t="s">
        <v>23</v>
      </c>
    </row>
    <row r="22" spans="1:2" x14ac:dyDescent="0.25">
      <c r="A22" s="9">
        <v>0.61841435185185178</v>
      </c>
      <c r="B22" t="s">
        <v>26</v>
      </c>
    </row>
    <row r="23" spans="1:2" x14ac:dyDescent="0.25">
      <c r="A23" s="9">
        <v>0.61888888888888893</v>
      </c>
      <c r="B23" t="s">
        <v>28</v>
      </c>
    </row>
    <row r="24" spans="1:2" x14ac:dyDescent="0.25">
      <c r="A24" s="9">
        <v>0.61896990740740743</v>
      </c>
      <c r="B24" t="s">
        <v>29</v>
      </c>
    </row>
    <row r="25" spans="1:2" x14ac:dyDescent="0.25">
      <c r="A25" s="9">
        <v>0.61929398148148151</v>
      </c>
      <c r="B25" t="s">
        <v>30</v>
      </c>
    </row>
    <row r="26" spans="1:2" x14ac:dyDescent="0.25">
      <c r="A26" s="9">
        <v>0.61996527777777777</v>
      </c>
      <c r="B26" t="s">
        <v>14</v>
      </c>
    </row>
    <row r="27" spans="1:2" x14ac:dyDescent="0.25">
      <c r="A27" s="9" t="str">
        <f t="shared" ref="A27:A58" ca="1" si="0">IF(INDIRECT("b"&amp;ROW())&lt;&gt;"",IF(INDIRECT("a"&amp;ROW())="",NOW(),INDIRECT("a"&amp;ROW())),"")</f>
        <v/>
      </c>
    </row>
    <row r="28" spans="1:2" x14ac:dyDescent="0.25">
      <c r="A28" s="9" t="str">
        <f t="shared" ca="1" si="0"/>
        <v/>
      </c>
    </row>
    <row r="29" spans="1:2" x14ac:dyDescent="0.25">
      <c r="A29" s="9" t="str">
        <f t="shared" ca="1" si="0"/>
        <v/>
      </c>
    </row>
    <row r="30" spans="1:2" x14ac:dyDescent="0.25">
      <c r="A30" s="9" t="str">
        <f t="shared" ca="1" si="0"/>
        <v/>
      </c>
    </row>
    <row r="31" spans="1:2" x14ac:dyDescent="0.25">
      <c r="A31" s="9" t="str">
        <f t="shared" ca="1" si="0"/>
        <v/>
      </c>
    </row>
    <row r="32" spans="1:2" x14ac:dyDescent="0.25">
      <c r="A32" s="9" t="str">
        <f t="shared" ca="1" si="0"/>
        <v/>
      </c>
    </row>
    <row r="33" spans="1:1" x14ac:dyDescent="0.25">
      <c r="A33" s="9" t="str">
        <f t="shared" ca="1" si="0"/>
        <v/>
      </c>
    </row>
    <row r="34" spans="1:1" x14ac:dyDescent="0.25">
      <c r="A34" s="9" t="str">
        <f t="shared" ca="1" si="0"/>
        <v/>
      </c>
    </row>
    <row r="35" spans="1:1" x14ac:dyDescent="0.25">
      <c r="A35" s="9" t="str">
        <f t="shared" ca="1" si="0"/>
        <v/>
      </c>
    </row>
    <row r="36" spans="1:1" x14ac:dyDescent="0.25">
      <c r="A36" s="9" t="str">
        <f t="shared" ca="1" si="0"/>
        <v/>
      </c>
    </row>
    <row r="37" spans="1:1" x14ac:dyDescent="0.25">
      <c r="A37" s="9" t="str">
        <f t="shared" ca="1" si="0"/>
        <v/>
      </c>
    </row>
    <row r="38" spans="1:1" x14ac:dyDescent="0.25">
      <c r="A38" s="9" t="str">
        <f t="shared" ca="1" si="0"/>
        <v/>
      </c>
    </row>
    <row r="39" spans="1:1" x14ac:dyDescent="0.25">
      <c r="A39" s="9" t="str">
        <f t="shared" ca="1" si="0"/>
        <v/>
      </c>
    </row>
    <row r="40" spans="1:1" x14ac:dyDescent="0.25">
      <c r="A40" s="9" t="str">
        <f t="shared" ca="1" si="0"/>
        <v/>
      </c>
    </row>
    <row r="41" spans="1:1" x14ac:dyDescent="0.25">
      <c r="A41" s="9" t="str">
        <f t="shared" ca="1" si="0"/>
        <v/>
      </c>
    </row>
    <row r="42" spans="1:1" x14ac:dyDescent="0.25">
      <c r="A42" s="9" t="str">
        <f t="shared" ca="1" si="0"/>
        <v/>
      </c>
    </row>
    <row r="43" spans="1:1" x14ac:dyDescent="0.25">
      <c r="A43" s="9" t="str">
        <f t="shared" ca="1" si="0"/>
        <v/>
      </c>
    </row>
    <row r="44" spans="1:1" x14ac:dyDescent="0.25">
      <c r="A44" s="9" t="str">
        <f t="shared" ca="1" si="0"/>
        <v/>
      </c>
    </row>
    <row r="45" spans="1:1" x14ac:dyDescent="0.25">
      <c r="A45" s="9" t="str">
        <f t="shared" ca="1" si="0"/>
        <v/>
      </c>
    </row>
    <row r="46" spans="1:1" x14ac:dyDescent="0.25">
      <c r="A46" s="9" t="str">
        <f t="shared" ca="1" si="0"/>
        <v/>
      </c>
    </row>
    <row r="47" spans="1:1" x14ac:dyDescent="0.25">
      <c r="A47" s="9" t="str">
        <f t="shared" ca="1" si="0"/>
        <v/>
      </c>
    </row>
    <row r="48" spans="1:1" x14ac:dyDescent="0.25">
      <c r="A48" s="9" t="str">
        <f t="shared" ca="1" si="0"/>
        <v/>
      </c>
    </row>
    <row r="49" spans="1:1" x14ac:dyDescent="0.25">
      <c r="A49" s="9" t="str">
        <f t="shared" ca="1" si="0"/>
        <v/>
      </c>
    </row>
    <row r="50" spans="1:1" x14ac:dyDescent="0.25">
      <c r="A50" s="9" t="str">
        <f t="shared" ca="1" si="0"/>
        <v/>
      </c>
    </row>
    <row r="51" spans="1:1" x14ac:dyDescent="0.25">
      <c r="A51" s="9" t="str">
        <f t="shared" ca="1" si="0"/>
        <v/>
      </c>
    </row>
    <row r="52" spans="1:1" x14ac:dyDescent="0.25">
      <c r="A52" s="9" t="str">
        <f t="shared" ca="1" si="0"/>
        <v/>
      </c>
    </row>
    <row r="53" spans="1:1" x14ac:dyDescent="0.25">
      <c r="A53" s="9" t="str">
        <f t="shared" ca="1" si="0"/>
        <v/>
      </c>
    </row>
    <row r="54" spans="1:1" x14ac:dyDescent="0.25">
      <c r="A54" s="9" t="str">
        <f t="shared" ca="1" si="0"/>
        <v/>
      </c>
    </row>
    <row r="55" spans="1:1" x14ac:dyDescent="0.25">
      <c r="A55" s="9" t="str">
        <f t="shared" ca="1" si="0"/>
        <v/>
      </c>
    </row>
    <row r="56" spans="1:1" x14ac:dyDescent="0.25">
      <c r="A56" s="9" t="str">
        <f t="shared" ca="1" si="0"/>
        <v/>
      </c>
    </row>
    <row r="57" spans="1:1" x14ac:dyDescent="0.25">
      <c r="A57" s="9" t="str">
        <f t="shared" ca="1" si="0"/>
        <v/>
      </c>
    </row>
    <row r="58" spans="1:1" x14ac:dyDescent="0.25">
      <c r="A58" s="9" t="str">
        <f t="shared" ca="1" si="0"/>
        <v/>
      </c>
    </row>
  </sheetData>
  <hyperlinks>
    <hyperlink ref="E1" location="Summary!A1" display="Summary Page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6"/>
  <sheetViews>
    <sheetView workbookViewId="0">
      <selection activeCell="F1" sqref="F1"/>
    </sheetView>
  </sheetViews>
  <sheetFormatPr defaultColWidth="8.85546875" defaultRowHeight="15" x14ac:dyDescent="0.25"/>
  <cols>
    <col min="1" max="1" width="17.28515625" style="9" bestFit="1" customWidth="1"/>
    <col min="2" max="2" width="11.7109375" bestFit="1" customWidth="1"/>
    <col min="3" max="3" width="9.7109375" bestFit="1" customWidth="1"/>
    <col min="4" max="4" width="5" bestFit="1" customWidth="1"/>
    <col min="5" max="5" width="5" customWidth="1"/>
    <col min="6" max="6" width="12.42578125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s="9" t="s">
        <v>37</v>
      </c>
      <c r="B2">
        <v>1</v>
      </c>
      <c r="C2">
        <v>3</v>
      </c>
      <c r="D2">
        <v>3</v>
      </c>
    </row>
    <row r="3" spans="1:6" x14ac:dyDescent="0.25">
      <c r="A3" s="9" t="s">
        <v>50</v>
      </c>
      <c r="B3">
        <v>1</v>
      </c>
      <c r="C3">
        <v>2</v>
      </c>
      <c r="D3">
        <v>2</v>
      </c>
    </row>
    <row r="4" spans="1:6" x14ac:dyDescent="0.25">
      <c r="A4" s="9" t="s">
        <v>39</v>
      </c>
      <c r="B4">
        <v>2</v>
      </c>
      <c r="C4">
        <v>2</v>
      </c>
      <c r="D4">
        <v>4</v>
      </c>
    </row>
    <row r="5" spans="1:6" x14ac:dyDescent="0.25">
      <c r="A5" s="9" t="s">
        <v>51</v>
      </c>
      <c r="B5">
        <v>2</v>
      </c>
      <c r="C5">
        <v>1.5</v>
      </c>
      <c r="D5">
        <v>3</v>
      </c>
    </row>
    <row r="6" spans="1:6" x14ac:dyDescent="0.25">
      <c r="A6" s="9" t="s">
        <v>48</v>
      </c>
      <c r="B6">
        <v>1</v>
      </c>
      <c r="C6">
        <v>1</v>
      </c>
      <c r="D6">
        <v>1</v>
      </c>
    </row>
    <row r="7" spans="1:6" x14ac:dyDescent="0.25">
      <c r="A7" s="9" t="s">
        <v>52</v>
      </c>
      <c r="B7">
        <v>1</v>
      </c>
      <c r="C7">
        <v>2</v>
      </c>
      <c r="D7">
        <v>2</v>
      </c>
    </row>
    <row r="8" spans="1:6" x14ac:dyDescent="0.25">
      <c r="A8" s="9" t="s">
        <v>53</v>
      </c>
      <c r="B8">
        <v>1</v>
      </c>
      <c r="C8">
        <v>2</v>
      </c>
      <c r="D8">
        <v>2</v>
      </c>
    </row>
    <row r="9" spans="1:6" x14ac:dyDescent="0.25">
      <c r="A9" s="9" t="s">
        <v>41</v>
      </c>
      <c r="B9">
        <v>3</v>
      </c>
      <c r="C9">
        <v>2</v>
      </c>
      <c r="D9">
        <v>6</v>
      </c>
    </row>
    <row r="10" spans="1:6" x14ac:dyDescent="0.25">
      <c r="A10" s="9" t="s">
        <v>42</v>
      </c>
      <c r="B10">
        <v>3</v>
      </c>
      <c r="C10">
        <v>5</v>
      </c>
      <c r="D10">
        <v>15</v>
      </c>
    </row>
    <row r="11" spans="1:6" x14ac:dyDescent="0.25">
      <c r="A11" s="9" t="s">
        <v>43</v>
      </c>
      <c r="B11">
        <v>2</v>
      </c>
      <c r="C11">
        <v>4</v>
      </c>
      <c r="D11">
        <v>8</v>
      </c>
    </row>
    <row r="12" spans="1:6" x14ac:dyDescent="0.25">
      <c r="A12" s="9" t="s">
        <v>54</v>
      </c>
      <c r="B12">
        <v>2</v>
      </c>
      <c r="C12">
        <v>3.5</v>
      </c>
      <c r="D12">
        <v>7</v>
      </c>
    </row>
    <row r="13" spans="1:6" x14ac:dyDescent="0.25">
      <c r="A13" s="9" t="s">
        <v>55</v>
      </c>
      <c r="B13">
        <v>2</v>
      </c>
      <c r="C13">
        <v>1.5</v>
      </c>
      <c r="D13">
        <v>3</v>
      </c>
    </row>
    <row r="14" spans="1:6" x14ac:dyDescent="0.25">
      <c r="A14" s="9" t="str">
        <f t="shared" ref="A14:A46" ca="1" si="0">IF(INDIRECT("b"&amp;ROW())&lt;&gt;"",IF(INDIRECT("a"&amp;ROW())="",NOW(),INDIRECT("a"&amp;ROW())),"")</f>
        <v/>
      </c>
    </row>
    <row r="15" spans="1:6" x14ac:dyDescent="0.25">
      <c r="A15" s="9" t="str">
        <f t="shared" ca="1" si="0"/>
        <v/>
      </c>
    </row>
    <row r="16" spans="1:6" x14ac:dyDescent="0.25">
      <c r="A16" s="9" t="str">
        <f t="shared" ca="1" si="0"/>
        <v/>
      </c>
    </row>
    <row r="17" spans="1:1" x14ac:dyDescent="0.25">
      <c r="A17" s="9" t="str">
        <f t="shared" ca="1" si="0"/>
        <v/>
      </c>
    </row>
    <row r="18" spans="1:1" x14ac:dyDescent="0.25">
      <c r="A18" s="9" t="str">
        <f t="shared" ca="1" si="0"/>
        <v/>
      </c>
    </row>
    <row r="19" spans="1:1" x14ac:dyDescent="0.25">
      <c r="A19" s="9" t="str">
        <f t="shared" ca="1" si="0"/>
        <v/>
      </c>
    </row>
    <row r="20" spans="1:1" x14ac:dyDescent="0.25">
      <c r="A20" s="9" t="str">
        <f t="shared" ca="1" si="0"/>
        <v/>
      </c>
    </row>
    <row r="21" spans="1:1" x14ac:dyDescent="0.25">
      <c r="A21" s="9" t="str">
        <f t="shared" ca="1" si="0"/>
        <v/>
      </c>
    </row>
    <row r="22" spans="1:1" x14ac:dyDescent="0.25">
      <c r="A22" s="9" t="str">
        <f t="shared" ca="1" si="0"/>
        <v/>
      </c>
    </row>
    <row r="23" spans="1:1" x14ac:dyDescent="0.25">
      <c r="A23" s="9" t="str">
        <f t="shared" ca="1" si="0"/>
        <v/>
      </c>
    </row>
    <row r="24" spans="1:1" x14ac:dyDescent="0.25">
      <c r="A24" s="9" t="str">
        <f t="shared" ca="1" si="0"/>
        <v/>
      </c>
    </row>
    <row r="25" spans="1:1" x14ac:dyDescent="0.25">
      <c r="A25" s="9" t="str">
        <f t="shared" ca="1" si="0"/>
        <v/>
      </c>
    </row>
    <row r="26" spans="1:1" x14ac:dyDescent="0.25">
      <c r="A26" s="9" t="str">
        <f t="shared" ca="1" si="0"/>
        <v/>
      </c>
    </row>
    <row r="27" spans="1:1" x14ac:dyDescent="0.25">
      <c r="A27" s="9" t="str">
        <f t="shared" ca="1" si="0"/>
        <v/>
      </c>
    </row>
    <row r="28" spans="1:1" x14ac:dyDescent="0.25">
      <c r="A28" s="9" t="str">
        <f t="shared" ca="1" si="0"/>
        <v/>
      </c>
    </row>
    <row r="29" spans="1:1" x14ac:dyDescent="0.25">
      <c r="A29" s="9" t="str">
        <f t="shared" ca="1" si="0"/>
        <v/>
      </c>
    </row>
    <row r="30" spans="1:1" x14ac:dyDescent="0.25">
      <c r="A30" s="9" t="str">
        <f t="shared" ca="1" si="0"/>
        <v/>
      </c>
    </row>
    <row r="31" spans="1:1" x14ac:dyDescent="0.25">
      <c r="A31" s="9" t="str">
        <f t="shared" ca="1" si="0"/>
        <v/>
      </c>
    </row>
    <row r="32" spans="1:1" x14ac:dyDescent="0.25">
      <c r="A32" s="9" t="str">
        <f t="shared" ca="1" si="0"/>
        <v/>
      </c>
    </row>
    <row r="33" spans="1:1" x14ac:dyDescent="0.25">
      <c r="A33" s="9" t="str">
        <f t="shared" ca="1" si="0"/>
        <v/>
      </c>
    </row>
    <row r="34" spans="1:1" x14ac:dyDescent="0.25">
      <c r="A34" s="9" t="str">
        <f t="shared" ca="1" si="0"/>
        <v/>
      </c>
    </row>
    <row r="35" spans="1:1" x14ac:dyDescent="0.25">
      <c r="A35" s="9" t="str">
        <f t="shared" ca="1" si="0"/>
        <v/>
      </c>
    </row>
    <row r="36" spans="1:1" x14ac:dyDescent="0.25">
      <c r="A36" s="9" t="str">
        <f t="shared" ca="1" si="0"/>
        <v/>
      </c>
    </row>
    <row r="37" spans="1:1" x14ac:dyDescent="0.25">
      <c r="A37" s="9" t="str">
        <f t="shared" ca="1" si="0"/>
        <v/>
      </c>
    </row>
    <row r="38" spans="1:1" x14ac:dyDescent="0.25">
      <c r="A38" s="9" t="str">
        <f t="shared" ca="1" si="0"/>
        <v/>
      </c>
    </row>
    <row r="39" spans="1:1" x14ac:dyDescent="0.25">
      <c r="A39" s="9" t="str">
        <f t="shared" ca="1" si="0"/>
        <v/>
      </c>
    </row>
    <row r="40" spans="1:1" x14ac:dyDescent="0.25">
      <c r="A40" s="9" t="str">
        <f t="shared" ca="1" si="0"/>
        <v/>
      </c>
    </row>
    <row r="41" spans="1:1" x14ac:dyDescent="0.25">
      <c r="A41" s="9" t="str">
        <f t="shared" ca="1" si="0"/>
        <v/>
      </c>
    </row>
    <row r="42" spans="1:1" x14ac:dyDescent="0.25">
      <c r="A42" s="9" t="str">
        <f t="shared" ca="1" si="0"/>
        <v/>
      </c>
    </row>
    <row r="43" spans="1:1" x14ac:dyDescent="0.25">
      <c r="A43" s="9" t="str">
        <f t="shared" ca="1" si="0"/>
        <v/>
      </c>
    </row>
    <row r="44" spans="1:1" x14ac:dyDescent="0.25">
      <c r="A44" s="9" t="str">
        <f t="shared" ca="1" si="0"/>
        <v/>
      </c>
    </row>
    <row r="45" spans="1:1" x14ac:dyDescent="0.25">
      <c r="A45" s="9" t="str">
        <f t="shared" ca="1" si="0"/>
        <v/>
      </c>
    </row>
    <row r="46" spans="1:1" x14ac:dyDescent="0.25">
      <c r="A46" s="9" t="str">
        <f t="shared" ca="1" si="0"/>
        <v/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3"/>
  <sheetViews>
    <sheetView workbookViewId="0">
      <selection activeCell="G18" sqref="G18"/>
    </sheetView>
  </sheetViews>
  <sheetFormatPr defaultColWidth="8.85546875" defaultRowHeight="15" x14ac:dyDescent="0.25"/>
  <cols>
    <col min="1" max="1" width="17.28515625" style="9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s="9" t="s">
        <v>37</v>
      </c>
      <c r="B2">
        <v>2</v>
      </c>
      <c r="C2">
        <v>3</v>
      </c>
      <c r="D2">
        <v>6</v>
      </c>
    </row>
    <row r="3" spans="1:6" x14ac:dyDescent="0.25">
      <c r="A3" s="9" t="s">
        <v>38</v>
      </c>
      <c r="B3">
        <v>4</v>
      </c>
      <c r="C3">
        <v>2.75</v>
      </c>
      <c r="D3">
        <v>11</v>
      </c>
    </row>
    <row r="4" spans="1:6" x14ac:dyDescent="0.25">
      <c r="A4" s="9" t="s">
        <v>50</v>
      </c>
      <c r="B4">
        <v>3</v>
      </c>
      <c r="C4">
        <v>3</v>
      </c>
      <c r="D4">
        <v>9</v>
      </c>
    </row>
    <row r="5" spans="1:6" x14ac:dyDescent="0.25">
      <c r="A5" s="9" t="s">
        <v>39</v>
      </c>
      <c r="B5">
        <v>5</v>
      </c>
      <c r="C5">
        <v>2.2000000000000002</v>
      </c>
      <c r="D5">
        <v>11</v>
      </c>
    </row>
    <row r="6" spans="1:6" x14ac:dyDescent="0.25">
      <c r="A6" s="9" t="s">
        <v>51</v>
      </c>
      <c r="B6">
        <v>2</v>
      </c>
      <c r="C6">
        <v>3</v>
      </c>
      <c r="D6">
        <v>6</v>
      </c>
    </row>
    <row r="7" spans="1:6" x14ac:dyDescent="0.25">
      <c r="A7" s="9" t="s">
        <v>40</v>
      </c>
      <c r="B7">
        <v>4</v>
      </c>
      <c r="C7">
        <v>3</v>
      </c>
      <c r="D7">
        <v>12</v>
      </c>
    </row>
    <row r="8" spans="1:6" x14ac:dyDescent="0.25">
      <c r="A8" s="9" t="s">
        <v>48</v>
      </c>
      <c r="B8">
        <v>3</v>
      </c>
      <c r="C8">
        <v>2.3333333333333335</v>
      </c>
      <c r="D8">
        <v>7</v>
      </c>
    </row>
    <row r="9" spans="1:6" x14ac:dyDescent="0.25">
      <c r="A9" s="9" t="s">
        <v>52</v>
      </c>
      <c r="B9">
        <v>3</v>
      </c>
      <c r="C9">
        <v>2.3333333333333335</v>
      </c>
      <c r="D9">
        <v>7</v>
      </c>
    </row>
    <row r="10" spans="1:6" x14ac:dyDescent="0.25">
      <c r="A10" s="9" t="s">
        <v>56</v>
      </c>
      <c r="B10">
        <v>2</v>
      </c>
      <c r="C10">
        <v>1.5</v>
      </c>
      <c r="D10">
        <v>3</v>
      </c>
    </row>
    <row r="11" spans="1:6" x14ac:dyDescent="0.25">
      <c r="A11" s="9" t="s">
        <v>53</v>
      </c>
      <c r="B11">
        <v>3</v>
      </c>
      <c r="C11">
        <v>3</v>
      </c>
      <c r="D11">
        <v>9</v>
      </c>
    </row>
    <row r="12" spans="1:6" x14ac:dyDescent="0.25">
      <c r="A12" s="9" t="s">
        <v>41</v>
      </c>
      <c r="B12">
        <v>4</v>
      </c>
      <c r="C12">
        <v>2.75</v>
      </c>
      <c r="D12">
        <v>11</v>
      </c>
    </row>
    <row r="13" spans="1:6" x14ac:dyDescent="0.25">
      <c r="A13" s="9" t="s">
        <v>42</v>
      </c>
      <c r="B13">
        <v>2</v>
      </c>
      <c r="C13">
        <v>2</v>
      </c>
      <c r="D13">
        <v>4</v>
      </c>
    </row>
    <row r="14" spans="1:6" x14ac:dyDescent="0.25">
      <c r="A14" s="9" t="s">
        <v>43</v>
      </c>
      <c r="B14">
        <v>4</v>
      </c>
      <c r="C14">
        <v>2</v>
      </c>
      <c r="D14">
        <v>8</v>
      </c>
    </row>
    <row r="15" spans="1:6" x14ac:dyDescent="0.25">
      <c r="A15" s="9" t="s">
        <v>49</v>
      </c>
      <c r="B15">
        <v>3</v>
      </c>
      <c r="C15">
        <v>3</v>
      </c>
      <c r="D15">
        <v>9</v>
      </c>
    </row>
    <row r="16" spans="1:6" x14ac:dyDescent="0.25">
      <c r="A16" s="9" t="s">
        <v>54</v>
      </c>
      <c r="B16">
        <v>3</v>
      </c>
      <c r="C16">
        <v>2.3333333333333335</v>
      </c>
      <c r="D16">
        <v>7</v>
      </c>
    </row>
    <row r="17" spans="1:4" x14ac:dyDescent="0.25">
      <c r="A17" s="9" t="s">
        <v>55</v>
      </c>
      <c r="B17">
        <v>2</v>
      </c>
      <c r="C17">
        <v>3</v>
      </c>
      <c r="D17">
        <v>6</v>
      </c>
    </row>
    <row r="18" spans="1:4" x14ac:dyDescent="0.25">
      <c r="A18" s="9" t="str">
        <f t="shared" ref="A18:A33" ca="1" si="0">IF(INDIRECT("b"&amp;ROW())&lt;&gt;"",IF(INDIRECT("a"&amp;ROW())="",NOW(),INDIRECT("a"&amp;ROW())),"")</f>
        <v/>
      </c>
    </row>
    <row r="19" spans="1:4" x14ac:dyDescent="0.25">
      <c r="A19" s="9" t="str">
        <f t="shared" ca="1" si="0"/>
        <v/>
      </c>
    </row>
    <row r="20" spans="1:4" x14ac:dyDescent="0.25">
      <c r="A20" s="9" t="str">
        <f t="shared" ca="1" si="0"/>
        <v/>
      </c>
    </row>
    <row r="21" spans="1:4" x14ac:dyDescent="0.25">
      <c r="A21" s="9" t="str">
        <f t="shared" ca="1" si="0"/>
        <v/>
      </c>
    </row>
    <row r="22" spans="1:4" x14ac:dyDescent="0.25">
      <c r="A22" s="9" t="str">
        <f t="shared" ca="1" si="0"/>
        <v/>
      </c>
    </row>
    <row r="23" spans="1:4" x14ac:dyDescent="0.25">
      <c r="A23" s="9" t="str">
        <f t="shared" ca="1" si="0"/>
        <v/>
      </c>
    </row>
    <row r="24" spans="1:4" x14ac:dyDescent="0.25">
      <c r="A24" s="9" t="str">
        <f t="shared" ca="1" si="0"/>
        <v/>
      </c>
    </row>
    <row r="25" spans="1:4" x14ac:dyDescent="0.25">
      <c r="A25" s="9" t="str">
        <f t="shared" ca="1" si="0"/>
        <v/>
      </c>
    </row>
    <row r="26" spans="1:4" x14ac:dyDescent="0.25">
      <c r="A26" s="9" t="str">
        <f t="shared" ca="1" si="0"/>
        <v/>
      </c>
    </row>
    <row r="27" spans="1:4" x14ac:dyDescent="0.25">
      <c r="A27" s="9" t="str">
        <f t="shared" ca="1" si="0"/>
        <v/>
      </c>
    </row>
    <row r="28" spans="1:4" x14ac:dyDescent="0.25">
      <c r="A28" s="9" t="str">
        <f t="shared" ca="1" si="0"/>
        <v/>
      </c>
    </row>
    <row r="29" spans="1:4" x14ac:dyDescent="0.25">
      <c r="A29" s="9" t="str">
        <f t="shared" ca="1" si="0"/>
        <v/>
      </c>
    </row>
    <row r="30" spans="1:4" x14ac:dyDescent="0.25">
      <c r="A30" s="9" t="str">
        <f t="shared" ca="1" si="0"/>
        <v/>
      </c>
    </row>
    <row r="31" spans="1:4" x14ac:dyDescent="0.25">
      <c r="A31" s="9" t="str">
        <f t="shared" ca="1" si="0"/>
        <v/>
      </c>
    </row>
    <row r="32" spans="1:4" x14ac:dyDescent="0.25">
      <c r="A32" s="9" t="str">
        <f t="shared" ca="1" si="0"/>
        <v/>
      </c>
    </row>
    <row r="33" spans="1:1" x14ac:dyDescent="0.25">
      <c r="A33" s="9" t="str">
        <f t="shared" ca="1" si="0"/>
        <v/>
      </c>
    </row>
    <row r="34" spans="1:1" x14ac:dyDescent="0.25">
      <c r="A34" s="9" t="str">
        <f t="shared" ref="A34:A53" ca="1" si="1">IF(INDIRECT("b"&amp;ROW())&lt;&gt;"",IF(INDIRECT("a"&amp;ROW())="",NOW(),INDIRECT("a"&amp;ROW())),"")</f>
        <v/>
      </c>
    </row>
    <row r="35" spans="1:1" x14ac:dyDescent="0.25">
      <c r="A35" s="9" t="str">
        <f t="shared" ca="1" si="1"/>
        <v/>
      </c>
    </row>
    <row r="36" spans="1:1" x14ac:dyDescent="0.25">
      <c r="A36" s="9" t="str">
        <f t="shared" ca="1" si="1"/>
        <v/>
      </c>
    </row>
    <row r="37" spans="1:1" x14ac:dyDescent="0.25">
      <c r="A37" s="9" t="str">
        <f t="shared" ca="1" si="1"/>
        <v/>
      </c>
    </row>
    <row r="38" spans="1:1" x14ac:dyDescent="0.25">
      <c r="A38" s="9" t="str">
        <f t="shared" ca="1" si="1"/>
        <v/>
      </c>
    </row>
    <row r="39" spans="1:1" x14ac:dyDescent="0.25">
      <c r="A39" s="9" t="str">
        <f t="shared" ca="1" si="1"/>
        <v/>
      </c>
    </row>
    <row r="40" spans="1:1" x14ac:dyDescent="0.25">
      <c r="A40" s="9" t="str">
        <f t="shared" ca="1" si="1"/>
        <v/>
      </c>
    </row>
    <row r="41" spans="1:1" x14ac:dyDescent="0.25">
      <c r="A41" s="9" t="str">
        <f t="shared" ca="1" si="1"/>
        <v/>
      </c>
    </row>
    <row r="42" spans="1:1" x14ac:dyDescent="0.25">
      <c r="A42" s="9" t="str">
        <f t="shared" ca="1" si="1"/>
        <v/>
      </c>
    </row>
    <row r="43" spans="1:1" x14ac:dyDescent="0.25">
      <c r="A43" s="9" t="str">
        <f t="shared" ca="1" si="1"/>
        <v/>
      </c>
    </row>
    <row r="44" spans="1:1" x14ac:dyDescent="0.25">
      <c r="A44" s="9" t="str">
        <f t="shared" ca="1" si="1"/>
        <v/>
      </c>
    </row>
    <row r="45" spans="1:1" x14ac:dyDescent="0.25">
      <c r="A45" s="9" t="str">
        <f t="shared" ca="1" si="1"/>
        <v/>
      </c>
    </row>
    <row r="46" spans="1:1" x14ac:dyDescent="0.25">
      <c r="A46" s="9" t="str">
        <f t="shared" ca="1" si="1"/>
        <v/>
      </c>
    </row>
    <row r="47" spans="1:1" x14ac:dyDescent="0.25">
      <c r="A47" s="9" t="str">
        <f t="shared" ca="1" si="1"/>
        <v/>
      </c>
    </row>
    <row r="48" spans="1:1" x14ac:dyDescent="0.25">
      <c r="A48" s="9" t="str">
        <f t="shared" ca="1" si="1"/>
        <v/>
      </c>
    </row>
    <row r="49" spans="1:1" x14ac:dyDescent="0.25">
      <c r="A49" s="9" t="str">
        <f t="shared" ca="1" si="1"/>
        <v/>
      </c>
    </row>
    <row r="50" spans="1:1" x14ac:dyDescent="0.25">
      <c r="A50" s="9" t="str">
        <f t="shared" ca="1" si="1"/>
        <v/>
      </c>
    </row>
    <row r="51" spans="1:1" x14ac:dyDescent="0.25">
      <c r="A51" s="9" t="str">
        <f t="shared" ca="1" si="1"/>
        <v/>
      </c>
    </row>
    <row r="52" spans="1:1" x14ac:dyDescent="0.25">
      <c r="A52" s="9" t="str">
        <f t="shared" ca="1" si="1"/>
        <v/>
      </c>
    </row>
    <row r="53" spans="1:1" x14ac:dyDescent="0.25">
      <c r="A53" s="9" t="str">
        <f t="shared" ca="1" si="1"/>
        <v/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3"/>
  <sheetViews>
    <sheetView workbookViewId="0">
      <selection activeCell="E1" sqref="E1"/>
    </sheetView>
  </sheetViews>
  <sheetFormatPr defaultColWidth="8.85546875" defaultRowHeight="15" x14ac:dyDescent="0.25"/>
  <cols>
    <col min="1" max="1" width="15.85546875" style="9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s="9" t="s">
        <v>39</v>
      </c>
      <c r="B2">
        <v>1</v>
      </c>
      <c r="C2">
        <v>3</v>
      </c>
      <c r="D2">
        <v>3</v>
      </c>
    </row>
    <row r="3" spans="1:6" x14ac:dyDescent="0.25">
      <c r="A3" s="9" t="s">
        <v>40</v>
      </c>
      <c r="B3">
        <v>1</v>
      </c>
      <c r="C3">
        <v>2</v>
      </c>
      <c r="D3">
        <v>2</v>
      </c>
    </row>
    <row r="4" spans="1:6" x14ac:dyDescent="0.25">
      <c r="A4" s="9" t="s">
        <v>48</v>
      </c>
      <c r="B4">
        <v>3</v>
      </c>
      <c r="C4">
        <v>2.6666666666666665</v>
      </c>
      <c r="D4">
        <v>8</v>
      </c>
    </row>
    <row r="5" spans="1:6" x14ac:dyDescent="0.25">
      <c r="A5" s="9" t="s">
        <v>52</v>
      </c>
      <c r="B5">
        <v>2</v>
      </c>
      <c r="C5">
        <v>3.5</v>
      </c>
      <c r="D5">
        <v>7</v>
      </c>
    </row>
    <row r="6" spans="1:6" x14ac:dyDescent="0.25">
      <c r="A6" s="9" t="s">
        <v>43</v>
      </c>
      <c r="B6">
        <v>1</v>
      </c>
      <c r="C6">
        <v>2</v>
      </c>
      <c r="D6">
        <v>2</v>
      </c>
    </row>
    <row r="7" spans="1:6" x14ac:dyDescent="0.25">
      <c r="A7" s="9" t="s">
        <v>49</v>
      </c>
      <c r="B7">
        <v>2</v>
      </c>
      <c r="C7">
        <v>2.5</v>
      </c>
      <c r="D7">
        <v>5</v>
      </c>
    </row>
    <row r="8" spans="1:6" x14ac:dyDescent="0.25">
      <c r="A8" s="9" t="s">
        <v>57</v>
      </c>
      <c r="B8">
        <v>2</v>
      </c>
      <c r="C8">
        <v>2.5</v>
      </c>
      <c r="D8">
        <v>5</v>
      </c>
    </row>
    <row r="9" spans="1:6" x14ac:dyDescent="0.25">
      <c r="A9" s="9" t="str">
        <f t="shared" ref="A9:A33" ca="1" si="0">IF(INDIRECT("b"&amp;ROW())&lt;&gt;"",IF(INDIRECT("a"&amp;ROW())="",NOW(),INDIRECT("a"&amp;ROW())),"")</f>
        <v/>
      </c>
    </row>
    <row r="10" spans="1:6" x14ac:dyDescent="0.25">
      <c r="A10" s="9" t="str">
        <f t="shared" ca="1" si="0"/>
        <v/>
      </c>
    </row>
    <row r="11" spans="1:6" x14ac:dyDescent="0.25">
      <c r="A11" s="9" t="str">
        <f t="shared" ca="1" si="0"/>
        <v/>
      </c>
    </row>
    <row r="12" spans="1:6" x14ac:dyDescent="0.25">
      <c r="A12" s="9" t="str">
        <f t="shared" ca="1" si="0"/>
        <v/>
      </c>
    </row>
    <row r="13" spans="1:6" x14ac:dyDescent="0.25">
      <c r="A13" s="9" t="str">
        <f t="shared" ca="1" si="0"/>
        <v/>
      </c>
    </row>
    <row r="14" spans="1:6" x14ac:dyDescent="0.25">
      <c r="A14" s="9" t="str">
        <f t="shared" ca="1" si="0"/>
        <v/>
      </c>
    </row>
    <row r="15" spans="1:6" x14ac:dyDescent="0.25">
      <c r="A15" s="9" t="str">
        <f t="shared" ca="1" si="0"/>
        <v/>
      </c>
    </row>
    <row r="16" spans="1:6" x14ac:dyDescent="0.25">
      <c r="A16" s="9" t="str">
        <f t="shared" ca="1" si="0"/>
        <v/>
      </c>
    </row>
    <row r="17" spans="1:1" x14ac:dyDescent="0.25">
      <c r="A17" s="9" t="str">
        <f t="shared" ca="1" si="0"/>
        <v/>
      </c>
    </row>
    <row r="18" spans="1:1" x14ac:dyDescent="0.25">
      <c r="A18" s="9" t="str">
        <f t="shared" ca="1" si="0"/>
        <v/>
      </c>
    </row>
    <row r="19" spans="1:1" x14ac:dyDescent="0.25">
      <c r="A19" s="9" t="str">
        <f t="shared" ca="1" si="0"/>
        <v/>
      </c>
    </row>
    <row r="20" spans="1:1" x14ac:dyDescent="0.25">
      <c r="A20" s="9" t="str">
        <f t="shared" ca="1" si="0"/>
        <v/>
      </c>
    </row>
    <row r="21" spans="1:1" x14ac:dyDescent="0.25">
      <c r="A21" s="9" t="str">
        <f t="shared" ca="1" si="0"/>
        <v/>
      </c>
    </row>
    <row r="22" spans="1:1" x14ac:dyDescent="0.25">
      <c r="A22" s="9" t="str">
        <f t="shared" ca="1" si="0"/>
        <v/>
      </c>
    </row>
    <row r="23" spans="1:1" x14ac:dyDescent="0.25">
      <c r="A23" s="9" t="str">
        <f t="shared" ca="1" si="0"/>
        <v/>
      </c>
    </row>
    <row r="24" spans="1:1" x14ac:dyDescent="0.25">
      <c r="A24" s="9" t="str">
        <f t="shared" ca="1" si="0"/>
        <v/>
      </c>
    </row>
    <row r="25" spans="1:1" x14ac:dyDescent="0.25">
      <c r="A25" s="9" t="str">
        <f t="shared" ca="1" si="0"/>
        <v/>
      </c>
    </row>
    <row r="26" spans="1:1" x14ac:dyDescent="0.25">
      <c r="A26" s="9" t="str">
        <f t="shared" ca="1" si="0"/>
        <v/>
      </c>
    </row>
    <row r="27" spans="1:1" x14ac:dyDescent="0.25">
      <c r="A27" s="9" t="str">
        <f t="shared" ca="1" si="0"/>
        <v/>
      </c>
    </row>
    <row r="28" spans="1:1" x14ac:dyDescent="0.25">
      <c r="A28" s="9" t="str">
        <f t="shared" ca="1" si="0"/>
        <v/>
      </c>
    </row>
    <row r="29" spans="1:1" x14ac:dyDescent="0.25">
      <c r="A29" s="9" t="str">
        <f t="shared" ca="1" si="0"/>
        <v/>
      </c>
    </row>
    <row r="30" spans="1:1" x14ac:dyDescent="0.25">
      <c r="A30" s="9" t="str">
        <f t="shared" ca="1" si="0"/>
        <v/>
      </c>
    </row>
    <row r="31" spans="1:1" x14ac:dyDescent="0.25">
      <c r="A31" s="9" t="str">
        <f t="shared" ca="1" si="0"/>
        <v/>
      </c>
    </row>
    <row r="32" spans="1:1" x14ac:dyDescent="0.25">
      <c r="A32" s="9" t="str">
        <f t="shared" ca="1" si="0"/>
        <v/>
      </c>
    </row>
    <row r="33" spans="1:1" x14ac:dyDescent="0.25">
      <c r="A33" s="9" t="str">
        <f t="shared" ca="1" si="0"/>
        <v/>
      </c>
    </row>
    <row r="34" spans="1:1" x14ac:dyDescent="0.25">
      <c r="A34" s="9" t="str">
        <f t="shared" ref="A34:A53" ca="1" si="1">IF(INDIRECT("b"&amp;ROW())&lt;&gt;"",IF(INDIRECT("a"&amp;ROW())="",NOW(),INDIRECT("a"&amp;ROW())),"")</f>
        <v/>
      </c>
    </row>
    <row r="35" spans="1:1" x14ac:dyDescent="0.25">
      <c r="A35" s="9" t="str">
        <f t="shared" ca="1" si="1"/>
        <v/>
      </c>
    </row>
    <row r="36" spans="1:1" x14ac:dyDescent="0.25">
      <c r="A36" s="9" t="str">
        <f t="shared" ca="1" si="1"/>
        <v/>
      </c>
    </row>
    <row r="37" spans="1:1" x14ac:dyDescent="0.25">
      <c r="A37" s="9" t="str">
        <f t="shared" ca="1" si="1"/>
        <v/>
      </c>
    </row>
    <row r="38" spans="1:1" x14ac:dyDescent="0.25">
      <c r="A38" s="9" t="str">
        <f t="shared" ca="1" si="1"/>
        <v/>
      </c>
    </row>
    <row r="39" spans="1:1" x14ac:dyDescent="0.25">
      <c r="A39" s="9" t="str">
        <f t="shared" ca="1" si="1"/>
        <v/>
      </c>
    </row>
    <row r="40" spans="1:1" x14ac:dyDescent="0.25">
      <c r="A40" s="9" t="str">
        <f t="shared" ca="1" si="1"/>
        <v/>
      </c>
    </row>
    <row r="41" spans="1:1" x14ac:dyDescent="0.25">
      <c r="A41" s="9" t="str">
        <f t="shared" ca="1" si="1"/>
        <v/>
      </c>
    </row>
    <row r="42" spans="1:1" x14ac:dyDescent="0.25">
      <c r="A42" s="9" t="str">
        <f t="shared" ca="1" si="1"/>
        <v/>
      </c>
    </row>
    <row r="43" spans="1:1" x14ac:dyDescent="0.25">
      <c r="A43" s="9" t="str">
        <f t="shared" ca="1" si="1"/>
        <v/>
      </c>
    </row>
    <row r="44" spans="1:1" x14ac:dyDescent="0.25">
      <c r="A44" s="9" t="str">
        <f t="shared" ca="1" si="1"/>
        <v/>
      </c>
    </row>
    <row r="45" spans="1:1" x14ac:dyDescent="0.25">
      <c r="A45" s="9" t="str">
        <f t="shared" ca="1" si="1"/>
        <v/>
      </c>
    </row>
    <row r="46" spans="1:1" x14ac:dyDescent="0.25">
      <c r="A46" s="9" t="str">
        <f t="shared" ca="1" si="1"/>
        <v/>
      </c>
    </row>
    <row r="47" spans="1:1" x14ac:dyDescent="0.25">
      <c r="A47" s="9" t="str">
        <f t="shared" ca="1" si="1"/>
        <v/>
      </c>
    </row>
    <row r="48" spans="1:1" x14ac:dyDescent="0.25">
      <c r="A48" s="9" t="str">
        <f t="shared" ca="1" si="1"/>
        <v/>
      </c>
    </row>
    <row r="49" spans="1:1" x14ac:dyDescent="0.25">
      <c r="A49" s="9" t="str">
        <f t="shared" ca="1" si="1"/>
        <v/>
      </c>
    </row>
    <row r="50" spans="1:1" x14ac:dyDescent="0.25">
      <c r="A50" s="9" t="str">
        <f t="shared" ca="1" si="1"/>
        <v/>
      </c>
    </row>
    <row r="51" spans="1:1" x14ac:dyDescent="0.25">
      <c r="A51" s="9" t="str">
        <f t="shared" ca="1" si="1"/>
        <v/>
      </c>
    </row>
    <row r="52" spans="1:1" x14ac:dyDescent="0.25">
      <c r="A52" s="9" t="str">
        <f t="shared" ca="1" si="1"/>
        <v/>
      </c>
    </row>
    <row r="53" spans="1:1" x14ac:dyDescent="0.25">
      <c r="A53" s="9" t="str">
        <f t="shared" ca="1" si="1"/>
        <v/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1"/>
  <sheetViews>
    <sheetView workbookViewId="0">
      <selection activeCell="C1" sqref="C1:C1048576"/>
    </sheetView>
  </sheetViews>
  <sheetFormatPr defaultColWidth="11.42578125" defaultRowHeight="15" x14ac:dyDescent="0.25"/>
  <cols>
    <col min="1" max="1" width="15.85546875" style="9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11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11" x14ac:dyDescent="0.25">
      <c r="A2" s="9" t="s">
        <v>37</v>
      </c>
      <c r="B2">
        <v>1</v>
      </c>
      <c r="C2">
        <v>3</v>
      </c>
      <c r="D2">
        <v>3</v>
      </c>
    </row>
    <row r="3" spans="1:11" x14ac:dyDescent="0.25">
      <c r="A3" s="9" t="s">
        <v>50</v>
      </c>
      <c r="B3">
        <v>1</v>
      </c>
      <c r="C3">
        <v>2</v>
      </c>
      <c r="D3">
        <v>2</v>
      </c>
      <c r="K3" s="7"/>
    </row>
    <row r="4" spans="1:11" x14ac:dyDescent="0.25">
      <c r="A4" s="9" t="s">
        <v>39</v>
      </c>
      <c r="B4">
        <v>4</v>
      </c>
      <c r="C4">
        <v>4</v>
      </c>
      <c r="D4">
        <v>16</v>
      </c>
    </row>
    <row r="5" spans="1:11" x14ac:dyDescent="0.25">
      <c r="A5" s="9" t="s">
        <v>51</v>
      </c>
      <c r="B5">
        <v>1</v>
      </c>
      <c r="C5">
        <v>3</v>
      </c>
      <c r="D5">
        <v>3</v>
      </c>
    </row>
    <row r="6" spans="1:11" x14ac:dyDescent="0.25">
      <c r="A6" s="9" t="s">
        <v>40</v>
      </c>
      <c r="B6">
        <v>1</v>
      </c>
      <c r="C6">
        <v>3</v>
      </c>
      <c r="D6">
        <v>3</v>
      </c>
    </row>
    <row r="7" spans="1:11" x14ac:dyDescent="0.25">
      <c r="A7" s="9" t="s">
        <v>48</v>
      </c>
      <c r="B7">
        <v>2</v>
      </c>
      <c r="C7">
        <v>3</v>
      </c>
      <c r="D7">
        <v>6</v>
      </c>
    </row>
    <row r="8" spans="1:11" x14ac:dyDescent="0.25">
      <c r="A8" s="9" t="s">
        <v>52</v>
      </c>
      <c r="B8">
        <v>1</v>
      </c>
      <c r="C8">
        <v>3</v>
      </c>
      <c r="D8">
        <v>3</v>
      </c>
    </row>
    <row r="9" spans="1:11" x14ac:dyDescent="0.25">
      <c r="A9" s="9" t="s">
        <v>53</v>
      </c>
      <c r="B9">
        <v>3</v>
      </c>
      <c r="C9">
        <v>2.3333333333333335</v>
      </c>
      <c r="D9">
        <v>7</v>
      </c>
    </row>
    <row r="10" spans="1:11" x14ac:dyDescent="0.25">
      <c r="A10" s="9" t="s">
        <v>41</v>
      </c>
      <c r="B10">
        <v>1</v>
      </c>
      <c r="C10">
        <v>3</v>
      </c>
      <c r="D10">
        <v>3</v>
      </c>
    </row>
    <row r="11" spans="1:11" x14ac:dyDescent="0.25">
      <c r="A11" s="9" t="s">
        <v>42</v>
      </c>
      <c r="B11">
        <v>3</v>
      </c>
      <c r="C11">
        <v>3</v>
      </c>
      <c r="D11">
        <v>9</v>
      </c>
    </row>
    <row r="12" spans="1:11" x14ac:dyDescent="0.25">
      <c r="A12" s="9" t="s">
        <v>55</v>
      </c>
      <c r="B12">
        <v>2</v>
      </c>
      <c r="C12">
        <v>2.5</v>
      </c>
      <c r="D12">
        <v>5</v>
      </c>
    </row>
    <row r="13" spans="1:11" x14ac:dyDescent="0.25">
      <c r="A13" s="9" t="s">
        <v>58</v>
      </c>
      <c r="B13">
        <v>3</v>
      </c>
      <c r="C13">
        <v>2.6666666666666665</v>
      </c>
      <c r="D13">
        <v>8</v>
      </c>
    </row>
    <row r="14" spans="1:11" x14ac:dyDescent="0.25">
      <c r="A14" s="9" t="str">
        <f t="shared" ref="A14:A41" ca="1" si="0">IF(B14&lt;&gt;"",IF(A14="",NOW(),A14),"")</f>
        <v/>
      </c>
    </row>
    <row r="15" spans="1:11" x14ac:dyDescent="0.25">
      <c r="A15" s="9" t="str">
        <f t="shared" ca="1" si="0"/>
        <v/>
      </c>
    </row>
    <row r="16" spans="1:11" x14ac:dyDescent="0.25">
      <c r="A16" s="9" t="str">
        <f t="shared" ca="1" si="0"/>
        <v/>
      </c>
    </row>
    <row r="17" spans="1:1" x14ac:dyDescent="0.25">
      <c r="A17" s="9" t="str">
        <f t="shared" ca="1" si="0"/>
        <v/>
      </c>
    </row>
    <row r="18" spans="1:1" x14ac:dyDescent="0.25">
      <c r="A18" s="9" t="str">
        <f t="shared" ca="1" si="0"/>
        <v/>
      </c>
    </row>
    <row r="19" spans="1:1" x14ac:dyDescent="0.25">
      <c r="A19" s="9" t="str">
        <f t="shared" ca="1" si="0"/>
        <v/>
      </c>
    </row>
    <row r="20" spans="1:1" x14ac:dyDescent="0.25">
      <c r="A20" s="9" t="str">
        <f t="shared" ca="1" si="0"/>
        <v/>
      </c>
    </row>
    <row r="21" spans="1:1" x14ac:dyDescent="0.25">
      <c r="A21" s="9" t="str">
        <f t="shared" ca="1" si="0"/>
        <v/>
      </c>
    </row>
    <row r="22" spans="1:1" x14ac:dyDescent="0.25">
      <c r="A22" s="9" t="str">
        <f t="shared" ca="1" si="0"/>
        <v/>
      </c>
    </row>
    <row r="23" spans="1:1" x14ac:dyDescent="0.25">
      <c r="A23" s="9" t="str">
        <f t="shared" ca="1" si="0"/>
        <v/>
      </c>
    </row>
    <row r="24" spans="1:1" x14ac:dyDescent="0.25">
      <c r="A24" s="9" t="str">
        <f t="shared" ca="1" si="0"/>
        <v/>
      </c>
    </row>
    <row r="25" spans="1:1" x14ac:dyDescent="0.25">
      <c r="A25" s="9" t="str">
        <f t="shared" ca="1" si="0"/>
        <v/>
      </c>
    </row>
    <row r="26" spans="1:1" x14ac:dyDescent="0.25">
      <c r="A26" s="9" t="str">
        <f t="shared" ca="1" si="0"/>
        <v/>
      </c>
    </row>
    <row r="27" spans="1:1" x14ac:dyDescent="0.25">
      <c r="A27" s="9" t="str">
        <f t="shared" ca="1" si="0"/>
        <v/>
      </c>
    </row>
    <row r="28" spans="1:1" x14ac:dyDescent="0.25">
      <c r="A28" s="9" t="str">
        <f t="shared" ca="1" si="0"/>
        <v/>
      </c>
    </row>
    <row r="29" spans="1:1" x14ac:dyDescent="0.25">
      <c r="A29" s="9" t="str">
        <f t="shared" ca="1" si="0"/>
        <v/>
      </c>
    </row>
    <row r="30" spans="1:1" x14ac:dyDescent="0.25">
      <c r="A30" s="9" t="str">
        <f t="shared" ca="1" si="0"/>
        <v/>
      </c>
    </row>
    <row r="31" spans="1:1" x14ac:dyDescent="0.25">
      <c r="A31" s="9" t="str">
        <f t="shared" ca="1" si="0"/>
        <v/>
      </c>
    </row>
    <row r="32" spans="1:1" x14ac:dyDescent="0.25">
      <c r="A32" s="9" t="str">
        <f t="shared" ca="1" si="0"/>
        <v/>
      </c>
    </row>
    <row r="33" spans="1:1" x14ac:dyDescent="0.25">
      <c r="A33" s="9" t="str">
        <f t="shared" ca="1" si="0"/>
        <v/>
      </c>
    </row>
    <row r="34" spans="1:1" x14ac:dyDescent="0.25">
      <c r="A34" s="9" t="str">
        <f t="shared" ca="1" si="0"/>
        <v/>
      </c>
    </row>
    <row r="35" spans="1:1" x14ac:dyDescent="0.25">
      <c r="A35" s="9" t="str">
        <f t="shared" ca="1" si="0"/>
        <v/>
      </c>
    </row>
    <row r="36" spans="1:1" x14ac:dyDescent="0.25">
      <c r="A36" s="9" t="str">
        <f t="shared" ca="1" si="0"/>
        <v/>
      </c>
    </row>
    <row r="37" spans="1:1" x14ac:dyDescent="0.25">
      <c r="A37" s="9" t="str">
        <f t="shared" ca="1" si="0"/>
        <v/>
      </c>
    </row>
    <row r="38" spans="1:1" x14ac:dyDescent="0.25">
      <c r="A38" s="9" t="str">
        <f t="shared" ca="1" si="0"/>
        <v/>
      </c>
    </row>
    <row r="39" spans="1:1" x14ac:dyDescent="0.25">
      <c r="A39" s="9" t="str">
        <f t="shared" ca="1" si="0"/>
        <v/>
      </c>
    </row>
    <row r="40" spans="1:1" x14ac:dyDescent="0.25">
      <c r="A40" s="9" t="str">
        <f t="shared" ca="1" si="0"/>
        <v/>
      </c>
    </row>
    <row r="41" spans="1:1" x14ac:dyDescent="0.25">
      <c r="A41" s="9" t="str">
        <f t="shared" ca="1" si="0"/>
        <v/>
      </c>
    </row>
  </sheetData>
  <hyperlinks>
    <hyperlink ref="F1" location="Summary!A1" display="Summary Page"/>
  </hyperlinks>
  <pageMargins left="0.75" right="0.75" top="1" bottom="1" header="0.5" footer="0.5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activeCell="F1" sqref="F1"/>
    </sheetView>
  </sheetViews>
  <sheetFormatPr defaultRowHeight="15" x14ac:dyDescent="0.25"/>
  <cols>
    <col min="1" max="1" width="17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37</v>
      </c>
      <c r="B2">
        <v>1</v>
      </c>
      <c r="C2">
        <v>3</v>
      </c>
      <c r="D2">
        <v>3</v>
      </c>
    </row>
    <row r="3" spans="1:6" x14ac:dyDescent="0.25">
      <c r="A3" t="s">
        <v>50</v>
      </c>
      <c r="B3">
        <v>2</v>
      </c>
      <c r="C3">
        <v>2.5</v>
      </c>
      <c r="D3">
        <v>5</v>
      </c>
    </row>
    <row r="4" spans="1:6" x14ac:dyDescent="0.25">
      <c r="A4" t="s">
        <v>39</v>
      </c>
      <c r="B4">
        <v>7</v>
      </c>
      <c r="C4">
        <v>3.4285714285714284</v>
      </c>
      <c r="D4">
        <v>24</v>
      </c>
    </row>
    <row r="5" spans="1:6" x14ac:dyDescent="0.25">
      <c r="A5" t="s">
        <v>51</v>
      </c>
      <c r="B5">
        <v>2</v>
      </c>
      <c r="C5">
        <v>3</v>
      </c>
      <c r="D5">
        <v>6</v>
      </c>
    </row>
    <row r="6" spans="1:6" x14ac:dyDescent="0.25">
      <c r="A6" t="s">
        <v>40</v>
      </c>
      <c r="B6">
        <v>2</v>
      </c>
      <c r="C6">
        <v>3</v>
      </c>
      <c r="D6">
        <v>6</v>
      </c>
    </row>
    <row r="7" spans="1:6" x14ac:dyDescent="0.25">
      <c r="A7" t="s">
        <v>52</v>
      </c>
      <c r="B7">
        <v>1</v>
      </c>
      <c r="C7">
        <v>2</v>
      </c>
      <c r="D7">
        <v>2</v>
      </c>
    </row>
    <row r="8" spans="1:6" x14ac:dyDescent="0.25">
      <c r="A8" t="s">
        <v>56</v>
      </c>
      <c r="B8">
        <v>1</v>
      </c>
      <c r="C8">
        <v>5</v>
      </c>
      <c r="D8">
        <v>5</v>
      </c>
    </row>
    <row r="9" spans="1:6" x14ac:dyDescent="0.25">
      <c r="A9" t="s">
        <v>59</v>
      </c>
      <c r="B9">
        <v>1</v>
      </c>
      <c r="C9">
        <v>2</v>
      </c>
      <c r="D9">
        <v>2</v>
      </c>
    </row>
    <row r="10" spans="1:6" x14ac:dyDescent="0.25">
      <c r="A10" t="s">
        <v>53</v>
      </c>
      <c r="B10">
        <v>1</v>
      </c>
      <c r="C10">
        <v>3</v>
      </c>
      <c r="D10">
        <v>3</v>
      </c>
    </row>
    <row r="11" spans="1:6" x14ac:dyDescent="0.25">
      <c r="A11" t="s">
        <v>41</v>
      </c>
      <c r="B11">
        <v>1</v>
      </c>
      <c r="C11">
        <v>3</v>
      </c>
      <c r="D11">
        <v>3</v>
      </c>
    </row>
    <row r="12" spans="1:6" x14ac:dyDescent="0.25">
      <c r="A12" t="s">
        <v>42</v>
      </c>
      <c r="B12">
        <v>1</v>
      </c>
      <c r="C12">
        <v>3</v>
      </c>
      <c r="D12">
        <v>3</v>
      </c>
    </row>
    <row r="13" spans="1:6" x14ac:dyDescent="0.25">
      <c r="A13" t="s">
        <v>43</v>
      </c>
      <c r="B13">
        <v>1</v>
      </c>
      <c r="C13">
        <v>3</v>
      </c>
      <c r="D13">
        <v>3</v>
      </c>
    </row>
    <row r="14" spans="1:6" x14ac:dyDescent="0.25">
      <c r="A14" t="s">
        <v>49</v>
      </c>
      <c r="B14">
        <v>1</v>
      </c>
      <c r="C14">
        <v>2</v>
      </c>
      <c r="D14">
        <v>2</v>
      </c>
    </row>
    <row r="15" spans="1:6" x14ac:dyDescent="0.25">
      <c r="A15" t="s">
        <v>54</v>
      </c>
      <c r="B15">
        <v>4</v>
      </c>
      <c r="C15">
        <v>3</v>
      </c>
      <c r="D15">
        <v>12</v>
      </c>
    </row>
    <row r="16" spans="1:6" x14ac:dyDescent="0.25">
      <c r="A16" t="s">
        <v>57</v>
      </c>
      <c r="B16">
        <v>3</v>
      </c>
      <c r="C16">
        <v>3</v>
      </c>
      <c r="D16">
        <v>9</v>
      </c>
    </row>
    <row r="17" spans="1:4" x14ac:dyDescent="0.25">
      <c r="A17" t="s">
        <v>58</v>
      </c>
      <c r="B17">
        <v>2</v>
      </c>
      <c r="C17">
        <v>3</v>
      </c>
      <c r="D17">
        <v>6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activeCell="C1" sqref="C1:C1048576"/>
    </sheetView>
  </sheetViews>
  <sheetFormatPr defaultRowHeight="15" x14ac:dyDescent="0.25"/>
  <cols>
    <col min="1" max="1" width="17.285156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37</v>
      </c>
      <c r="B2">
        <v>1</v>
      </c>
      <c r="C2">
        <v>3</v>
      </c>
      <c r="D2">
        <v>3</v>
      </c>
    </row>
    <row r="3" spans="1:6" x14ac:dyDescent="0.25">
      <c r="A3" t="s">
        <v>38</v>
      </c>
      <c r="B3">
        <v>2</v>
      </c>
      <c r="C3">
        <v>4</v>
      </c>
      <c r="D3">
        <v>8</v>
      </c>
    </row>
    <row r="4" spans="1:6" x14ac:dyDescent="0.25">
      <c r="A4" t="s">
        <v>50</v>
      </c>
      <c r="B4">
        <v>1</v>
      </c>
      <c r="C4">
        <v>3</v>
      </c>
      <c r="D4">
        <v>3</v>
      </c>
    </row>
    <row r="5" spans="1:6" x14ac:dyDescent="0.25">
      <c r="A5" t="s">
        <v>39</v>
      </c>
      <c r="B5">
        <v>5</v>
      </c>
      <c r="C5">
        <v>3.6</v>
      </c>
      <c r="D5">
        <v>18</v>
      </c>
    </row>
    <row r="6" spans="1:6" x14ac:dyDescent="0.25">
      <c r="A6" t="s">
        <v>51</v>
      </c>
      <c r="B6">
        <v>2</v>
      </c>
      <c r="C6">
        <v>2</v>
      </c>
      <c r="D6">
        <v>4</v>
      </c>
    </row>
    <row r="7" spans="1:6" x14ac:dyDescent="0.25">
      <c r="A7" t="s">
        <v>56</v>
      </c>
      <c r="B7">
        <v>1</v>
      </c>
      <c r="C7">
        <v>3</v>
      </c>
      <c r="D7">
        <v>3</v>
      </c>
    </row>
    <row r="8" spans="1:6" x14ac:dyDescent="0.25">
      <c r="A8" t="s">
        <v>59</v>
      </c>
      <c r="B8">
        <v>1</v>
      </c>
      <c r="C8">
        <v>3</v>
      </c>
      <c r="D8">
        <v>3</v>
      </c>
    </row>
    <row r="9" spans="1:6" x14ac:dyDescent="0.25">
      <c r="A9" t="s">
        <v>53</v>
      </c>
      <c r="B9">
        <v>1</v>
      </c>
      <c r="C9">
        <v>5</v>
      </c>
      <c r="D9">
        <v>5</v>
      </c>
    </row>
    <row r="10" spans="1:6" x14ac:dyDescent="0.25">
      <c r="A10" t="s">
        <v>41</v>
      </c>
      <c r="B10">
        <v>2</v>
      </c>
      <c r="C10">
        <v>4</v>
      </c>
      <c r="D10">
        <v>8</v>
      </c>
    </row>
    <row r="11" spans="1:6" x14ac:dyDescent="0.25">
      <c r="A11" t="s">
        <v>42</v>
      </c>
      <c r="B11">
        <v>2</v>
      </c>
      <c r="C11">
        <v>4</v>
      </c>
      <c r="D11">
        <v>8</v>
      </c>
    </row>
    <row r="12" spans="1:6" x14ac:dyDescent="0.25">
      <c r="A12" t="s">
        <v>43</v>
      </c>
      <c r="B12">
        <v>2</v>
      </c>
      <c r="C12">
        <v>3.5</v>
      </c>
      <c r="D12">
        <v>7</v>
      </c>
    </row>
    <row r="13" spans="1:6" x14ac:dyDescent="0.25">
      <c r="A13" t="s">
        <v>49</v>
      </c>
      <c r="B13">
        <v>2</v>
      </c>
      <c r="C13">
        <v>2.5</v>
      </c>
      <c r="D13">
        <v>5</v>
      </c>
    </row>
    <row r="14" spans="1:6" x14ac:dyDescent="0.25">
      <c r="A14" t="s">
        <v>54</v>
      </c>
      <c r="B14">
        <v>1</v>
      </c>
      <c r="C14">
        <v>3</v>
      </c>
      <c r="D14">
        <v>3</v>
      </c>
    </row>
    <row r="15" spans="1:6" x14ac:dyDescent="0.25">
      <c r="A15" t="s">
        <v>57</v>
      </c>
      <c r="B15">
        <v>1</v>
      </c>
      <c r="C15">
        <v>5</v>
      </c>
      <c r="D15">
        <v>5</v>
      </c>
    </row>
    <row r="16" spans="1:6" x14ac:dyDescent="0.25">
      <c r="A16" t="s">
        <v>55</v>
      </c>
      <c r="B16">
        <v>2</v>
      </c>
      <c r="C16">
        <v>2.5</v>
      </c>
      <c r="D16">
        <v>5</v>
      </c>
    </row>
    <row r="17" spans="1:4" x14ac:dyDescent="0.25">
      <c r="A17" t="s">
        <v>58</v>
      </c>
      <c r="B17">
        <v>2</v>
      </c>
      <c r="C17">
        <v>4</v>
      </c>
      <c r="D17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/>
  </sheetViews>
  <sheetFormatPr defaultRowHeight="15" x14ac:dyDescent="0.25"/>
  <cols>
    <col min="1" max="1" width="24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60</v>
      </c>
      <c r="B2">
        <v>2</v>
      </c>
      <c r="C2">
        <v>3.5</v>
      </c>
      <c r="D2">
        <v>7</v>
      </c>
    </row>
    <row r="3" spans="1:6" x14ac:dyDescent="0.25">
      <c r="A3" t="s">
        <v>38</v>
      </c>
      <c r="B3">
        <v>1</v>
      </c>
      <c r="C3">
        <v>8</v>
      </c>
      <c r="D3">
        <v>8</v>
      </c>
    </row>
    <row r="4" spans="1:6" x14ac:dyDescent="0.25">
      <c r="A4" t="s">
        <v>39</v>
      </c>
      <c r="B4">
        <v>2</v>
      </c>
      <c r="C4">
        <v>3</v>
      </c>
      <c r="D4">
        <v>6</v>
      </c>
    </row>
    <row r="5" spans="1:6" x14ac:dyDescent="0.25">
      <c r="A5" t="s">
        <v>52</v>
      </c>
      <c r="B5">
        <v>1</v>
      </c>
      <c r="C5">
        <v>2</v>
      </c>
      <c r="D5">
        <v>2</v>
      </c>
    </row>
    <row r="6" spans="1:6" x14ac:dyDescent="0.25">
      <c r="A6" t="s">
        <v>59</v>
      </c>
      <c r="B6">
        <v>1</v>
      </c>
      <c r="C6">
        <v>5</v>
      </c>
      <c r="D6">
        <v>5</v>
      </c>
    </row>
    <row r="7" spans="1:6" x14ac:dyDescent="0.25">
      <c r="A7" t="s">
        <v>54</v>
      </c>
      <c r="B7">
        <v>1</v>
      </c>
      <c r="C7">
        <v>3</v>
      </c>
      <c r="D7">
        <v>3</v>
      </c>
    </row>
    <row r="8" spans="1:6" x14ac:dyDescent="0.25">
      <c r="A8" t="s">
        <v>57</v>
      </c>
      <c r="B8">
        <v>1</v>
      </c>
      <c r="C8">
        <v>3</v>
      </c>
      <c r="D8">
        <v>3</v>
      </c>
    </row>
    <row r="9" spans="1:6" x14ac:dyDescent="0.25">
      <c r="A9" t="s">
        <v>61</v>
      </c>
      <c r="B9">
        <v>3</v>
      </c>
      <c r="C9">
        <v>2.6666666666666665</v>
      </c>
      <c r="D9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37</v>
      </c>
      <c r="B2">
        <v>1</v>
      </c>
      <c r="C2">
        <v>3</v>
      </c>
      <c r="D2">
        <v>3</v>
      </c>
    </row>
    <row r="3" spans="1:6" x14ac:dyDescent="0.25">
      <c r="A3" t="s">
        <v>60</v>
      </c>
      <c r="B3">
        <v>2</v>
      </c>
      <c r="C3">
        <v>2</v>
      </c>
      <c r="D3">
        <v>4</v>
      </c>
    </row>
    <row r="4" spans="1:6" x14ac:dyDescent="0.25">
      <c r="A4" t="s">
        <v>50</v>
      </c>
      <c r="B4">
        <v>2</v>
      </c>
      <c r="C4">
        <v>2.5</v>
      </c>
      <c r="D4">
        <v>5</v>
      </c>
    </row>
    <row r="5" spans="1:6" x14ac:dyDescent="0.25">
      <c r="A5" t="s">
        <v>39</v>
      </c>
      <c r="B5">
        <v>3</v>
      </c>
      <c r="C5">
        <v>2.6666666666666665</v>
      </c>
      <c r="D5">
        <v>8</v>
      </c>
    </row>
    <row r="6" spans="1:6" x14ac:dyDescent="0.25">
      <c r="A6" t="s">
        <v>52</v>
      </c>
      <c r="B6">
        <v>1</v>
      </c>
      <c r="C6">
        <v>5</v>
      </c>
      <c r="D6">
        <v>5</v>
      </c>
    </row>
    <row r="7" spans="1:6" x14ac:dyDescent="0.25">
      <c r="A7" t="s">
        <v>56</v>
      </c>
      <c r="B7">
        <v>1</v>
      </c>
      <c r="C7">
        <v>3</v>
      </c>
      <c r="D7">
        <v>3</v>
      </c>
    </row>
    <row r="8" spans="1:6" x14ac:dyDescent="0.25">
      <c r="A8" t="s">
        <v>59</v>
      </c>
      <c r="B8">
        <v>1</v>
      </c>
      <c r="C8">
        <v>2</v>
      </c>
      <c r="D8">
        <v>2</v>
      </c>
    </row>
    <row r="9" spans="1:6" x14ac:dyDescent="0.25">
      <c r="A9" t="s">
        <v>53</v>
      </c>
      <c r="B9">
        <v>1</v>
      </c>
      <c r="C9">
        <v>5</v>
      </c>
      <c r="D9">
        <v>5</v>
      </c>
    </row>
    <row r="10" spans="1:6" x14ac:dyDescent="0.25">
      <c r="A10" t="s">
        <v>41</v>
      </c>
      <c r="B10">
        <v>1</v>
      </c>
      <c r="C10">
        <v>5</v>
      </c>
      <c r="D10">
        <v>5</v>
      </c>
    </row>
    <row r="11" spans="1:6" x14ac:dyDescent="0.25">
      <c r="A11" t="s">
        <v>61</v>
      </c>
      <c r="B11">
        <v>2</v>
      </c>
      <c r="C11">
        <v>3</v>
      </c>
      <c r="D11">
        <v>6</v>
      </c>
    </row>
    <row r="12" spans="1:6" x14ac:dyDescent="0.25">
      <c r="A12" t="s">
        <v>58</v>
      </c>
      <c r="B12">
        <v>1</v>
      </c>
      <c r="C12">
        <v>3</v>
      </c>
      <c r="D12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60</v>
      </c>
      <c r="B2">
        <v>2</v>
      </c>
      <c r="C2">
        <v>2.5</v>
      </c>
      <c r="D2">
        <v>5</v>
      </c>
    </row>
    <row r="3" spans="1:6" x14ac:dyDescent="0.25">
      <c r="A3" t="s">
        <v>50</v>
      </c>
      <c r="B3">
        <v>1</v>
      </c>
      <c r="C3">
        <v>5</v>
      </c>
      <c r="D3">
        <v>5</v>
      </c>
    </row>
    <row r="4" spans="1:6" x14ac:dyDescent="0.25">
      <c r="A4" t="s">
        <v>39</v>
      </c>
      <c r="B4">
        <v>1</v>
      </c>
      <c r="C4">
        <v>3</v>
      </c>
      <c r="D4">
        <v>3</v>
      </c>
    </row>
    <row r="5" spans="1:6" x14ac:dyDescent="0.25">
      <c r="A5" t="s">
        <v>51</v>
      </c>
      <c r="B5">
        <v>1</v>
      </c>
      <c r="C5">
        <v>3</v>
      </c>
      <c r="D5">
        <v>3</v>
      </c>
    </row>
    <row r="6" spans="1:6" x14ac:dyDescent="0.25">
      <c r="A6" t="s">
        <v>40</v>
      </c>
      <c r="B6">
        <v>1</v>
      </c>
      <c r="C6">
        <v>3</v>
      </c>
      <c r="D6">
        <v>3</v>
      </c>
    </row>
    <row r="7" spans="1:6" x14ac:dyDescent="0.25">
      <c r="A7" t="s">
        <v>52</v>
      </c>
      <c r="B7">
        <v>1</v>
      </c>
      <c r="C7">
        <v>5</v>
      </c>
      <c r="D7">
        <v>5</v>
      </c>
    </row>
    <row r="8" spans="1:6" x14ac:dyDescent="0.25">
      <c r="A8" t="s">
        <v>59</v>
      </c>
      <c r="B8">
        <v>1</v>
      </c>
      <c r="C8">
        <v>3</v>
      </c>
      <c r="D8">
        <v>3</v>
      </c>
    </row>
    <row r="9" spans="1:6" x14ac:dyDescent="0.25">
      <c r="A9" t="s">
        <v>53</v>
      </c>
      <c r="B9">
        <v>2</v>
      </c>
      <c r="C9">
        <v>3</v>
      </c>
      <c r="D9">
        <v>6</v>
      </c>
    </row>
    <row r="10" spans="1:6" x14ac:dyDescent="0.25">
      <c r="A10" t="s">
        <v>41</v>
      </c>
      <c r="B10">
        <v>1</v>
      </c>
      <c r="C10">
        <v>2</v>
      </c>
      <c r="D10">
        <v>2</v>
      </c>
    </row>
    <row r="11" spans="1:6" x14ac:dyDescent="0.25">
      <c r="A11" t="s">
        <v>54</v>
      </c>
      <c r="B11">
        <v>1</v>
      </c>
      <c r="C11">
        <v>5</v>
      </c>
      <c r="D11">
        <v>5</v>
      </c>
    </row>
    <row r="12" spans="1:6" x14ac:dyDescent="0.25">
      <c r="A12" t="s">
        <v>61</v>
      </c>
      <c r="B12">
        <v>1</v>
      </c>
      <c r="C12">
        <v>3</v>
      </c>
      <c r="D12">
        <v>3</v>
      </c>
    </row>
    <row r="13" spans="1:6" x14ac:dyDescent="0.25">
      <c r="A13" t="s">
        <v>58</v>
      </c>
      <c r="B13">
        <v>2</v>
      </c>
      <c r="C13">
        <v>3</v>
      </c>
      <c r="D13">
        <v>6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60</v>
      </c>
      <c r="B2">
        <v>1</v>
      </c>
      <c r="C2">
        <v>5</v>
      </c>
      <c r="D2">
        <v>5</v>
      </c>
    </row>
    <row r="3" spans="1:6" x14ac:dyDescent="0.25">
      <c r="A3" t="s">
        <v>62</v>
      </c>
      <c r="B3">
        <v>2</v>
      </c>
      <c r="C3">
        <v>2.5</v>
      </c>
      <c r="D3">
        <v>5</v>
      </c>
    </row>
    <row r="4" spans="1:6" x14ac:dyDescent="0.25">
      <c r="A4" t="s">
        <v>39</v>
      </c>
      <c r="B4">
        <v>3</v>
      </c>
      <c r="C4">
        <v>3</v>
      </c>
      <c r="D4">
        <v>9</v>
      </c>
    </row>
    <row r="5" spans="1:6" x14ac:dyDescent="0.25">
      <c r="A5" t="s">
        <v>63</v>
      </c>
      <c r="B5">
        <v>2</v>
      </c>
      <c r="C5">
        <v>2.5</v>
      </c>
      <c r="D5">
        <v>5</v>
      </c>
    </row>
    <row r="6" spans="1:6" x14ac:dyDescent="0.25">
      <c r="A6" t="s">
        <v>53</v>
      </c>
      <c r="B6">
        <v>1</v>
      </c>
      <c r="C6">
        <v>3</v>
      </c>
      <c r="D6">
        <v>3</v>
      </c>
    </row>
    <row r="7" spans="1:6" x14ac:dyDescent="0.25">
      <c r="A7" t="s">
        <v>41</v>
      </c>
      <c r="B7">
        <v>1</v>
      </c>
      <c r="C7">
        <v>5</v>
      </c>
      <c r="D7">
        <v>5</v>
      </c>
    </row>
    <row r="8" spans="1:6" x14ac:dyDescent="0.25">
      <c r="A8" t="s">
        <v>64</v>
      </c>
      <c r="B8">
        <v>2</v>
      </c>
      <c r="C8">
        <v>2.5</v>
      </c>
      <c r="D8">
        <v>5</v>
      </c>
    </row>
    <row r="9" spans="1:6" x14ac:dyDescent="0.25">
      <c r="A9" t="s">
        <v>49</v>
      </c>
      <c r="B9">
        <v>1</v>
      </c>
      <c r="C9">
        <v>3</v>
      </c>
      <c r="D9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60</v>
      </c>
      <c r="B2">
        <v>1</v>
      </c>
      <c r="C2">
        <v>3</v>
      </c>
      <c r="D2">
        <v>3</v>
      </c>
    </row>
    <row r="3" spans="1:6" x14ac:dyDescent="0.25">
      <c r="A3" t="s">
        <v>62</v>
      </c>
      <c r="B3">
        <v>1</v>
      </c>
      <c r="C3">
        <v>3</v>
      </c>
      <c r="D3">
        <v>3</v>
      </c>
    </row>
    <row r="4" spans="1:6" x14ac:dyDescent="0.25">
      <c r="A4" t="s">
        <v>39</v>
      </c>
      <c r="B4">
        <v>1</v>
      </c>
      <c r="C4">
        <v>3</v>
      </c>
      <c r="D4">
        <v>3</v>
      </c>
    </row>
    <row r="5" spans="1:6" x14ac:dyDescent="0.25">
      <c r="A5" t="s">
        <v>51</v>
      </c>
      <c r="B5">
        <v>1</v>
      </c>
      <c r="C5">
        <v>5</v>
      </c>
      <c r="D5">
        <v>5</v>
      </c>
    </row>
    <row r="6" spans="1:6" x14ac:dyDescent="0.25">
      <c r="A6" t="s">
        <v>53</v>
      </c>
      <c r="B6">
        <v>1</v>
      </c>
      <c r="C6">
        <v>5</v>
      </c>
      <c r="D6">
        <v>5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/>
  </sheetViews>
  <sheetFormatPr defaultRowHeight="15" x14ac:dyDescent="0.25"/>
  <cols>
    <col min="1" max="1" width="24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60</v>
      </c>
      <c r="B2">
        <v>1</v>
      </c>
      <c r="C2">
        <v>5</v>
      </c>
      <c r="D2">
        <v>5</v>
      </c>
    </row>
    <row r="3" spans="1:6" x14ac:dyDescent="0.25">
      <c r="A3" t="s">
        <v>65</v>
      </c>
      <c r="B3">
        <v>13</v>
      </c>
      <c r="C3">
        <v>1.4615384615384615</v>
      </c>
      <c r="D3">
        <v>19</v>
      </c>
    </row>
    <row r="4" spans="1:6" x14ac:dyDescent="0.25">
      <c r="A4" t="s">
        <v>62</v>
      </c>
      <c r="B4">
        <v>13</v>
      </c>
      <c r="C4">
        <v>1.4615384615384615</v>
      </c>
      <c r="D4">
        <v>19</v>
      </c>
    </row>
    <row r="5" spans="1:6" x14ac:dyDescent="0.25">
      <c r="A5" t="s">
        <v>66</v>
      </c>
      <c r="B5">
        <v>13</v>
      </c>
      <c r="C5">
        <v>1.4615384615384615</v>
      </c>
      <c r="D5">
        <v>19</v>
      </c>
    </row>
    <row r="6" spans="1:6" x14ac:dyDescent="0.25">
      <c r="A6" t="s">
        <v>39</v>
      </c>
      <c r="B6">
        <v>1</v>
      </c>
      <c r="C6">
        <v>3</v>
      </c>
      <c r="D6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12" bestFit="1" customWidth="1"/>
    <col min="4" max="4" width="5" bestFit="1" customWidth="1"/>
    <col min="5" max="5" width="9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37</v>
      </c>
      <c r="B2">
        <v>1</v>
      </c>
      <c r="C2">
        <v>3</v>
      </c>
      <c r="D2">
        <v>3</v>
      </c>
    </row>
    <row r="3" spans="1:6" x14ac:dyDescent="0.25">
      <c r="A3" t="s">
        <v>67</v>
      </c>
      <c r="B3">
        <v>3</v>
      </c>
      <c r="C3">
        <v>3</v>
      </c>
      <c r="D3">
        <v>9</v>
      </c>
    </row>
    <row r="4" spans="1:6" x14ac:dyDescent="0.25">
      <c r="A4" t="s">
        <v>60</v>
      </c>
      <c r="B4">
        <v>2</v>
      </c>
      <c r="C4">
        <v>3</v>
      </c>
      <c r="D4">
        <v>6</v>
      </c>
    </row>
    <row r="5" spans="1:6" x14ac:dyDescent="0.25">
      <c r="A5" t="s">
        <v>62</v>
      </c>
      <c r="B5">
        <v>1</v>
      </c>
      <c r="C5">
        <v>3</v>
      </c>
      <c r="D5">
        <v>3</v>
      </c>
    </row>
    <row r="6" spans="1:6" x14ac:dyDescent="0.25">
      <c r="A6" t="s">
        <v>68</v>
      </c>
      <c r="B6">
        <v>2</v>
      </c>
      <c r="C6">
        <v>2</v>
      </c>
      <c r="D6">
        <v>4</v>
      </c>
    </row>
    <row r="7" spans="1:6" x14ac:dyDescent="0.25">
      <c r="A7" t="s">
        <v>69</v>
      </c>
      <c r="B7">
        <v>2</v>
      </c>
      <c r="C7">
        <v>4</v>
      </c>
      <c r="D7">
        <v>8</v>
      </c>
    </row>
    <row r="8" spans="1:6" x14ac:dyDescent="0.25">
      <c r="A8" t="s">
        <v>66</v>
      </c>
      <c r="B8">
        <v>1</v>
      </c>
      <c r="C8">
        <v>1</v>
      </c>
      <c r="D8">
        <v>1</v>
      </c>
    </row>
    <row r="9" spans="1:6" x14ac:dyDescent="0.25">
      <c r="A9" t="s">
        <v>50</v>
      </c>
      <c r="B9">
        <v>1</v>
      </c>
      <c r="C9">
        <v>3</v>
      </c>
      <c r="D9">
        <v>3</v>
      </c>
    </row>
    <row r="10" spans="1:6" x14ac:dyDescent="0.25">
      <c r="A10" t="s">
        <v>70</v>
      </c>
      <c r="B10">
        <v>1</v>
      </c>
      <c r="C10">
        <v>1</v>
      </c>
      <c r="D10">
        <v>1</v>
      </c>
    </row>
    <row r="11" spans="1:6" x14ac:dyDescent="0.25">
      <c r="A11" t="s">
        <v>39</v>
      </c>
      <c r="B11">
        <v>9</v>
      </c>
      <c r="C11">
        <v>2.6666666666666665</v>
      </c>
      <c r="D11">
        <v>24</v>
      </c>
    </row>
    <row r="12" spans="1:6" x14ac:dyDescent="0.25">
      <c r="A12" t="s">
        <v>71</v>
      </c>
      <c r="B12">
        <v>1</v>
      </c>
      <c r="C12">
        <v>1</v>
      </c>
      <c r="D12">
        <v>1</v>
      </c>
    </row>
    <row r="13" spans="1:6" x14ac:dyDescent="0.25">
      <c r="A13" t="s">
        <v>72</v>
      </c>
      <c r="B13">
        <v>2</v>
      </c>
      <c r="C13">
        <v>1.5</v>
      </c>
      <c r="D13">
        <v>3</v>
      </c>
    </row>
    <row r="14" spans="1:6" x14ac:dyDescent="0.25">
      <c r="A14" t="s">
        <v>73</v>
      </c>
      <c r="B14">
        <v>1</v>
      </c>
      <c r="C14">
        <v>1</v>
      </c>
      <c r="D14">
        <v>1</v>
      </c>
    </row>
    <row r="15" spans="1:6" x14ac:dyDescent="0.25">
      <c r="A15" t="s">
        <v>74</v>
      </c>
      <c r="B15">
        <v>2</v>
      </c>
      <c r="C15">
        <v>1</v>
      </c>
      <c r="D15">
        <v>2</v>
      </c>
    </row>
    <row r="16" spans="1:6" x14ac:dyDescent="0.25">
      <c r="A16" t="s">
        <v>52</v>
      </c>
      <c r="B16">
        <v>1</v>
      </c>
      <c r="C16">
        <v>3</v>
      </c>
      <c r="D16">
        <v>3</v>
      </c>
    </row>
    <row r="17" spans="1:4" x14ac:dyDescent="0.25">
      <c r="A17" t="s">
        <v>63</v>
      </c>
      <c r="B17">
        <v>1</v>
      </c>
      <c r="C17">
        <v>5</v>
      </c>
      <c r="D17">
        <v>5</v>
      </c>
    </row>
    <row r="18" spans="1:4" x14ac:dyDescent="0.25">
      <c r="A18" t="s">
        <v>59</v>
      </c>
      <c r="B18">
        <v>1</v>
      </c>
      <c r="C18">
        <v>3</v>
      </c>
      <c r="D18">
        <v>3</v>
      </c>
    </row>
    <row r="19" spans="1:4" x14ac:dyDescent="0.25">
      <c r="A19" t="s">
        <v>53</v>
      </c>
      <c r="B19">
        <v>3</v>
      </c>
      <c r="C19">
        <v>3.6666666666666665</v>
      </c>
      <c r="D19">
        <v>11</v>
      </c>
    </row>
    <row r="20" spans="1:4" x14ac:dyDescent="0.25">
      <c r="A20" t="s">
        <v>41</v>
      </c>
      <c r="B20">
        <v>3</v>
      </c>
      <c r="C20">
        <v>7</v>
      </c>
      <c r="D20">
        <v>21</v>
      </c>
    </row>
    <row r="21" spans="1:4" x14ac:dyDescent="0.25">
      <c r="A21" t="s">
        <v>75</v>
      </c>
      <c r="B21">
        <v>1</v>
      </c>
      <c r="C21">
        <v>3</v>
      </c>
      <c r="D21">
        <v>3</v>
      </c>
    </row>
    <row r="22" spans="1:4" x14ac:dyDescent="0.25">
      <c r="A22" t="s">
        <v>76</v>
      </c>
      <c r="B22">
        <v>2</v>
      </c>
      <c r="C22">
        <v>2</v>
      </c>
      <c r="D22">
        <v>4</v>
      </c>
    </row>
    <row r="23" spans="1:4" x14ac:dyDescent="0.25">
      <c r="A23" t="s">
        <v>64</v>
      </c>
      <c r="B23">
        <v>1</v>
      </c>
      <c r="C23">
        <v>8</v>
      </c>
      <c r="D23">
        <v>8</v>
      </c>
    </row>
    <row r="24" spans="1:4" x14ac:dyDescent="0.25">
      <c r="A24" t="s">
        <v>77</v>
      </c>
      <c r="B24">
        <v>1</v>
      </c>
      <c r="C24">
        <v>1</v>
      </c>
      <c r="D24">
        <v>1</v>
      </c>
    </row>
    <row r="25" spans="1:4" x14ac:dyDescent="0.25">
      <c r="A25" t="s">
        <v>78</v>
      </c>
      <c r="B25">
        <v>1</v>
      </c>
      <c r="C25">
        <v>1</v>
      </c>
      <c r="D25">
        <v>1</v>
      </c>
    </row>
    <row r="26" spans="1:4" x14ac:dyDescent="0.25">
      <c r="A26" t="s">
        <v>61</v>
      </c>
      <c r="B26">
        <v>1</v>
      </c>
      <c r="C26">
        <v>3</v>
      </c>
      <c r="D26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37</v>
      </c>
      <c r="B2">
        <v>1</v>
      </c>
      <c r="C2">
        <v>3</v>
      </c>
      <c r="D2">
        <v>3</v>
      </c>
    </row>
    <row r="3" spans="1:6" x14ac:dyDescent="0.25">
      <c r="A3" t="s">
        <v>67</v>
      </c>
      <c r="B3">
        <v>1</v>
      </c>
      <c r="C3">
        <v>3</v>
      </c>
      <c r="D3">
        <v>3</v>
      </c>
    </row>
    <row r="4" spans="1:6" x14ac:dyDescent="0.25">
      <c r="A4" t="s">
        <v>60</v>
      </c>
      <c r="B4">
        <v>2</v>
      </c>
      <c r="C4">
        <v>2</v>
      </c>
      <c r="D4">
        <v>4</v>
      </c>
    </row>
    <row r="5" spans="1:6" x14ac:dyDescent="0.25">
      <c r="A5" t="s">
        <v>65</v>
      </c>
      <c r="B5">
        <v>2</v>
      </c>
      <c r="C5">
        <v>1.5</v>
      </c>
      <c r="D5">
        <v>3</v>
      </c>
    </row>
    <row r="6" spans="1:6" x14ac:dyDescent="0.25">
      <c r="A6" t="s">
        <v>62</v>
      </c>
      <c r="B6">
        <v>1</v>
      </c>
      <c r="C6">
        <v>2</v>
      </c>
      <c r="D6">
        <v>2</v>
      </c>
    </row>
    <row r="7" spans="1:6" x14ac:dyDescent="0.25">
      <c r="A7" t="s">
        <v>68</v>
      </c>
      <c r="B7">
        <v>1</v>
      </c>
      <c r="C7">
        <v>3</v>
      </c>
      <c r="D7">
        <v>3</v>
      </c>
    </row>
    <row r="8" spans="1:6" x14ac:dyDescent="0.25">
      <c r="A8" t="s">
        <v>69</v>
      </c>
      <c r="B8">
        <v>2</v>
      </c>
      <c r="C8">
        <v>1</v>
      </c>
      <c r="D8">
        <v>2</v>
      </c>
    </row>
    <row r="9" spans="1:6" x14ac:dyDescent="0.25">
      <c r="A9" t="s">
        <v>66</v>
      </c>
      <c r="B9">
        <v>1</v>
      </c>
      <c r="C9">
        <v>2</v>
      </c>
      <c r="D9">
        <v>2</v>
      </c>
    </row>
    <row r="10" spans="1:6" x14ac:dyDescent="0.25">
      <c r="A10" t="s">
        <v>70</v>
      </c>
      <c r="B10">
        <v>1</v>
      </c>
      <c r="C10">
        <v>1</v>
      </c>
      <c r="D10">
        <v>1</v>
      </c>
    </row>
    <row r="11" spans="1:6" x14ac:dyDescent="0.25">
      <c r="A11" t="s">
        <v>39</v>
      </c>
      <c r="B11">
        <v>9</v>
      </c>
      <c r="C11">
        <v>2.5555555555555554</v>
      </c>
      <c r="D11">
        <v>23</v>
      </c>
    </row>
    <row r="12" spans="1:6" x14ac:dyDescent="0.25">
      <c r="A12" t="s">
        <v>73</v>
      </c>
      <c r="B12">
        <v>1</v>
      </c>
      <c r="C12">
        <v>8</v>
      </c>
      <c r="D12">
        <v>8</v>
      </c>
    </row>
    <row r="13" spans="1:6" x14ac:dyDescent="0.25">
      <c r="A13" t="s">
        <v>79</v>
      </c>
      <c r="B13">
        <v>2</v>
      </c>
      <c r="C13">
        <v>1</v>
      </c>
      <c r="D13">
        <v>2</v>
      </c>
    </row>
    <row r="14" spans="1:6" x14ac:dyDescent="0.25">
      <c r="A14" t="s">
        <v>53</v>
      </c>
      <c r="B14">
        <v>1</v>
      </c>
      <c r="C14">
        <v>1</v>
      </c>
      <c r="D14">
        <v>1</v>
      </c>
    </row>
    <row r="15" spans="1:6" x14ac:dyDescent="0.25">
      <c r="A15" t="s">
        <v>41</v>
      </c>
      <c r="B15">
        <v>1</v>
      </c>
      <c r="C15">
        <v>1</v>
      </c>
      <c r="D15">
        <v>1</v>
      </c>
    </row>
    <row r="16" spans="1:6" x14ac:dyDescent="0.25">
      <c r="A16" t="s">
        <v>75</v>
      </c>
      <c r="B16">
        <v>1</v>
      </c>
      <c r="C16">
        <v>3</v>
      </c>
      <c r="D16">
        <v>3</v>
      </c>
    </row>
    <row r="17" spans="1:4" x14ac:dyDescent="0.25">
      <c r="A17" t="s">
        <v>76</v>
      </c>
      <c r="B17">
        <v>1</v>
      </c>
      <c r="C17">
        <v>5</v>
      </c>
      <c r="D17">
        <v>5</v>
      </c>
    </row>
    <row r="18" spans="1:4" x14ac:dyDescent="0.25">
      <c r="A18" t="s">
        <v>64</v>
      </c>
      <c r="B18">
        <v>1</v>
      </c>
      <c r="C18">
        <v>1</v>
      </c>
      <c r="D18">
        <v>1</v>
      </c>
    </row>
    <row r="19" spans="1:4" x14ac:dyDescent="0.25">
      <c r="A19" t="s">
        <v>78</v>
      </c>
      <c r="B19">
        <v>1</v>
      </c>
      <c r="C19">
        <v>5</v>
      </c>
      <c r="D19">
        <v>5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C1" sqref="C1:C1048576"/>
    </sheetView>
  </sheetViews>
  <sheetFormatPr defaultRowHeight="15" x14ac:dyDescent="0.25"/>
  <cols>
    <col min="1" max="1" width="15.71093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1</v>
      </c>
      <c r="C2">
        <v>1</v>
      </c>
      <c r="D2">
        <v>1</v>
      </c>
    </row>
    <row r="3" spans="1:6" x14ac:dyDescent="0.25">
      <c r="A3" t="s">
        <v>39</v>
      </c>
      <c r="B3">
        <v>4</v>
      </c>
      <c r="C3">
        <v>2.75</v>
      </c>
      <c r="D3">
        <v>11</v>
      </c>
    </row>
    <row r="4" spans="1:6" x14ac:dyDescent="0.25">
      <c r="A4" t="s">
        <v>73</v>
      </c>
      <c r="B4">
        <v>1</v>
      </c>
      <c r="C4">
        <v>1</v>
      </c>
      <c r="D4">
        <v>1</v>
      </c>
    </row>
    <row r="5" spans="1:6" x14ac:dyDescent="0.25">
      <c r="A5" t="s">
        <v>79</v>
      </c>
      <c r="B5">
        <v>1</v>
      </c>
      <c r="C5">
        <v>2</v>
      </c>
      <c r="D5">
        <v>2</v>
      </c>
    </row>
    <row r="6" spans="1:6" x14ac:dyDescent="0.25">
      <c r="A6" t="s">
        <v>59</v>
      </c>
      <c r="B6">
        <v>1</v>
      </c>
      <c r="C6">
        <v>1</v>
      </c>
      <c r="D6">
        <v>1</v>
      </c>
    </row>
    <row r="7" spans="1:6" x14ac:dyDescent="0.25">
      <c r="A7" t="s">
        <v>53</v>
      </c>
      <c r="B7">
        <v>1</v>
      </c>
      <c r="C7">
        <v>1</v>
      </c>
      <c r="D7">
        <v>1</v>
      </c>
    </row>
    <row r="8" spans="1:6" x14ac:dyDescent="0.25">
      <c r="A8" t="s">
        <v>41</v>
      </c>
      <c r="B8">
        <v>1</v>
      </c>
      <c r="C8">
        <v>1</v>
      </c>
      <c r="D8">
        <v>1</v>
      </c>
    </row>
    <row r="9" spans="1:6" x14ac:dyDescent="0.25">
      <c r="A9" t="s">
        <v>64</v>
      </c>
      <c r="B9">
        <v>2</v>
      </c>
      <c r="C9">
        <v>3</v>
      </c>
      <c r="D9">
        <v>6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workbookViewId="0">
      <selection activeCell="C1" sqref="C1:C1048576"/>
    </sheetView>
  </sheetViews>
  <sheetFormatPr defaultRowHeight="15" x14ac:dyDescent="0.25"/>
  <cols>
    <col min="1" max="1" width="19.855468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1</v>
      </c>
      <c r="C2">
        <v>5</v>
      </c>
      <c r="D2">
        <v>5</v>
      </c>
    </row>
    <row r="3" spans="1:6" x14ac:dyDescent="0.25">
      <c r="A3" t="s">
        <v>65</v>
      </c>
      <c r="B3">
        <v>1</v>
      </c>
      <c r="C3">
        <v>3</v>
      </c>
      <c r="D3">
        <v>3</v>
      </c>
    </row>
    <row r="4" spans="1:6" x14ac:dyDescent="0.25">
      <c r="A4" t="s">
        <v>62</v>
      </c>
      <c r="B4">
        <v>1</v>
      </c>
      <c r="C4">
        <v>3</v>
      </c>
      <c r="D4">
        <v>3</v>
      </c>
    </row>
    <row r="5" spans="1:6" x14ac:dyDescent="0.25">
      <c r="A5" t="s">
        <v>69</v>
      </c>
      <c r="B5">
        <v>1</v>
      </c>
      <c r="C5">
        <v>8</v>
      </c>
      <c r="D5">
        <v>8</v>
      </c>
    </row>
    <row r="6" spans="1:6" x14ac:dyDescent="0.25">
      <c r="A6" t="s">
        <v>66</v>
      </c>
      <c r="B6">
        <v>1</v>
      </c>
      <c r="C6">
        <v>5</v>
      </c>
      <c r="D6">
        <v>5</v>
      </c>
    </row>
    <row r="7" spans="1:6" x14ac:dyDescent="0.25">
      <c r="A7" t="s">
        <v>39</v>
      </c>
      <c r="B7">
        <v>5</v>
      </c>
      <c r="C7">
        <v>3.2</v>
      </c>
      <c r="D7">
        <v>16</v>
      </c>
    </row>
    <row r="8" spans="1:6" x14ac:dyDescent="0.25">
      <c r="A8" t="s">
        <v>71</v>
      </c>
      <c r="B8">
        <v>1</v>
      </c>
      <c r="C8">
        <v>3</v>
      </c>
      <c r="D8">
        <v>3</v>
      </c>
    </row>
    <row r="9" spans="1:6" x14ac:dyDescent="0.25">
      <c r="A9" t="s">
        <v>51</v>
      </c>
      <c r="B9">
        <v>1</v>
      </c>
      <c r="C9">
        <v>5</v>
      </c>
      <c r="D9">
        <v>5</v>
      </c>
    </row>
    <row r="10" spans="1:6" x14ac:dyDescent="0.25">
      <c r="A10" t="s">
        <v>40</v>
      </c>
      <c r="B10">
        <v>1</v>
      </c>
      <c r="C10">
        <v>3</v>
      </c>
      <c r="D10">
        <v>3</v>
      </c>
    </row>
    <row r="11" spans="1:6" x14ac:dyDescent="0.25">
      <c r="A11" t="s">
        <v>80</v>
      </c>
      <c r="B11">
        <v>1</v>
      </c>
      <c r="C11">
        <v>1</v>
      </c>
      <c r="D11">
        <v>1</v>
      </c>
    </row>
    <row r="12" spans="1:6" x14ac:dyDescent="0.25">
      <c r="A12" t="s">
        <v>52</v>
      </c>
      <c r="B12">
        <v>1</v>
      </c>
      <c r="C12">
        <v>5</v>
      </c>
      <c r="D12">
        <v>5</v>
      </c>
    </row>
    <row r="13" spans="1:6" x14ac:dyDescent="0.25">
      <c r="A13" t="s">
        <v>81</v>
      </c>
      <c r="B13">
        <v>1</v>
      </c>
      <c r="C13">
        <v>3</v>
      </c>
      <c r="D13">
        <v>3</v>
      </c>
    </row>
    <row r="14" spans="1:6" x14ac:dyDescent="0.25">
      <c r="A14" t="s">
        <v>79</v>
      </c>
      <c r="B14">
        <v>1</v>
      </c>
      <c r="C14">
        <v>3</v>
      </c>
      <c r="D14">
        <v>3</v>
      </c>
    </row>
    <row r="15" spans="1:6" x14ac:dyDescent="0.25">
      <c r="A15" t="s">
        <v>53</v>
      </c>
      <c r="B15">
        <v>2</v>
      </c>
      <c r="C15">
        <v>4</v>
      </c>
      <c r="D15">
        <v>8</v>
      </c>
    </row>
    <row r="16" spans="1:6" x14ac:dyDescent="0.25">
      <c r="A16" t="s">
        <v>41</v>
      </c>
      <c r="B16">
        <v>1</v>
      </c>
      <c r="C16">
        <v>5</v>
      </c>
      <c r="D16">
        <v>5</v>
      </c>
    </row>
    <row r="17" spans="1:4" x14ac:dyDescent="0.25">
      <c r="A17" t="s">
        <v>82</v>
      </c>
      <c r="B17">
        <v>1</v>
      </c>
      <c r="C17">
        <v>1</v>
      </c>
      <c r="D17">
        <v>1</v>
      </c>
    </row>
    <row r="18" spans="1:4" x14ac:dyDescent="0.25">
      <c r="A18" t="s">
        <v>76</v>
      </c>
      <c r="B18">
        <v>1</v>
      </c>
      <c r="C18">
        <v>2</v>
      </c>
      <c r="D18">
        <v>2</v>
      </c>
    </row>
    <row r="19" spans="1:4" x14ac:dyDescent="0.25">
      <c r="A19" t="s">
        <v>64</v>
      </c>
      <c r="B19">
        <v>2</v>
      </c>
      <c r="C19">
        <v>5</v>
      </c>
      <c r="D19">
        <v>10</v>
      </c>
    </row>
    <row r="20" spans="1:4" x14ac:dyDescent="0.25">
      <c r="A20" t="s">
        <v>61</v>
      </c>
      <c r="B20">
        <v>1</v>
      </c>
      <c r="C20">
        <v>5</v>
      </c>
      <c r="D20">
        <v>5</v>
      </c>
    </row>
    <row r="21" spans="1:4" x14ac:dyDescent="0.25">
      <c r="A21" t="s">
        <v>83</v>
      </c>
      <c r="B21">
        <v>3</v>
      </c>
      <c r="C21">
        <v>2.3333333333333335</v>
      </c>
      <c r="D21">
        <v>7</v>
      </c>
    </row>
    <row r="22" spans="1:4" x14ac:dyDescent="0.25">
      <c r="A22" t="s">
        <v>84</v>
      </c>
      <c r="B22">
        <v>1</v>
      </c>
      <c r="C22">
        <v>1</v>
      </c>
      <c r="D22">
        <v>1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C1" sqref="C1:C1048576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37</v>
      </c>
      <c r="B2">
        <v>1</v>
      </c>
      <c r="C2">
        <v>3</v>
      </c>
      <c r="D2">
        <v>3</v>
      </c>
    </row>
    <row r="3" spans="1:6" x14ac:dyDescent="0.25">
      <c r="A3" t="s">
        <v>67</v>
      </c>
      <c r="B3">
        <v>1</v>
      </c>
      <c r="C3">
        <v>8</v>
      </c>
      <c r="D3">
        <v>8</v>
      </c>
    </row>
    <row r="4" spans="1:6" x14ac:dyDescent="0.25">
      <c r="A4" t="s">
        <v>70</v>
      </c>
      <c r="B4">
        <v>3</v>
      </c>
      <c r="C4">
        <v>3.3333333333333335</v>
      </c>
      <c r="D4">
        <v>10</v>
      </c>
    </row>
    <row r="5" spans="1:6" x14ac:dyDescent="0.25">
      <c r="A5" t="s">
        <v>39</v>
      </c>
      <c r="B5">
        <v>3</v>
      </c>
      <c r="C5">
        <v>4.666666666666667</v>
      </c>
      <c r="D5">
        <v>14</v>
      </c>
    </row>
    <row r="6" spans="1:6" x14ac:dyDescent="0.25">
      <c r="A6" t="s">
        <v>51</v>
      </c>
      <c r="B6">
        <v>1</v>
      </c>
      <c r="C6">
        <v>5</v>
      </c>
      <c r="D6">
        <v>5</v>
      </c>
    </row>
    <row r="7" spans="1:6" x14ac:dyDescent="0.25">
      <c r="A7" t="s">
        <v>41</v>
      </c>
      <c r="B7">
        <v>1</v>
      </c>
      <c r="C7">
        <v>8</v>
      </c>
      <c r="D7">
        <v>8</v>
      </c>
    </row>
    <row r="8" spans="1:6" x14ac:dyDescent="0.25">
      <c r="A8" t="s">
        <v>82</v>
      </c>
      <c r="B8">
        <v>1</v>
      </c>
      <c r="C8">
        <v>3</v>
      </c>
      <c r="D8">
        <v>3</v>
      </c>
    </row>
    <row r="9" spans="1:6" x14ac:dyDescent="0.25">
      <c r="A9" t="s">
        <v>64</v>
      </c>
      <c r="B9">
        <v>1</v>
      </c>
      <c r="C9">
        <v>3</v>
      </c>
      <c r="D9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C1" sqref="C1:C1048576"/>
    </sheetView>
  </sheetViews>
  <sheetFormatPr defaultRowHeight="15" x14ac:dyDescent="0.25"/>
  <cols>
    <col min="1" max="1" width="19.855468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65</v>
      </c>
      <c r="B2">
        <v>1</v>
      </c>
      <c r="C2">
        <v>8</v>
      </c>
      <c r="D2">
        <v>8</v>
      </c>
    </row>
    <row r="3" spans="1:6" x14ac:dyDescent="0.25">
      <c r="A3" t="s">
        <v>62</v>
      </c>
      <c r="B3">
        <v>1</v>
      </c>
      <c r="C3">
        <v>8</v>
      </c>
      <c r="D3">
        <v>8</v>
      </c>
    </row>
    <row r="4" spans="1:6" x14ac:dyDescent="0.25">
      <c r="A4" t="s">
        <v>69</v>
      </c>
      <c r="B4">
        <v>1</v>
      </c>
      <c r="C4">
        <v>8</v>
      </c>
      <c r="D4">
        <v>8</v>
      </c>
    </row>
    <row r="5" spans="1:6" x14ac:dyDescent="0.25">
      <c r="A5" t="s">
        <v>66</v>
      </c>
      <c r="B5">
        <v>1</v>
      </c>
      <c r="C5">
        <v>8</v>
      </c>
      <c r="D5">
        <v>8</v>
      </c>
    </row>
    <row r="6" spans="1:6" x14ac:dyDescent="0.25">
      <c r="A6" t="s">
        <v>39</v>
      </c>
      <c r="B6">
        <v>2</v>
      </c>
      <c r="C6">
        <v>5.5</v>
      </c>
      <c r="D6">
        <v>11</v>
      </c>
    </row>
    <row r="7" spans="1:6" x14ac:dyDescent="0.25">
      <c r="A7" t="s">
        <v>74</v>
      </c>
      <c r="B7">
        <v>1</v>
      </c>
      <c r="C7">
        <v>8</v>
      </c>
      <c r="D7">
        <v>8</v>
      </c>
    </row>
    <row r="8" spans="1:6" x14ac:dyDescent="0.25">
      <c r="A8" t="s">
        <v>53</v>
      </c>
      <c r="B8">
        <v>1</v>
      </c>
      <c r="C8">
        <v>3</v>
      </c>
      <c r="D8">
        <v>3</v>
      </c>
    </row>
    <row r="9" spans="1:6" x14ac:dyDescent="0.25">
      <c r="A9" t="s">
        <v>85</v>
      </c>
      <c r="B9">
        <v>1</v>
      </c>
      <c r="C9">
        <v>1</v>
      </c>
      <c r="D9">
        <v>1</v>
      </c>
    </row>
    <row r="10" spans="1:6" x14ac:dyDescent="0.25">
      <c r="A10" t="s">
        <v>82</v>
      </c>
      <c r="B10">
        <v>1</v>
      </c>
      <c r="C10">
        <v>8</v>
      </c>
      <c r="D10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60</v>
      </c>
      <c r="B2">
        <v>1</v>
      </c>
      <c r="C2">
        <v>8</v>
      </c>
      <c r="D2">
        <v>8</v>
      </c>
    </row>
    <row r="3" spans="1:6" x14ac:dyDescent="0.25">
      <c r="A3" t="s">
        <v>188</v>
      </c>
      <c r="B3">
        <v>1</v>
      </c>
      <c r="C3">
        <v>2</v>
      </c>
      <c r="D3">
        <v>2</v>
      </c>
    </row>
    <row r="4" spans="1:6" x14ac:dyDescent="0.25">
      <c r="A4" t="s">
        <v>39</v>
      </c>
      <c r="B4">
        <v>3</v>
      </c>
      <c r="C4">
        <v>4.333333333333333</v>
      </c>
      <c r="D4">
        <v>13</v>
      </c>
    </row>
    <row r="5" spans="1:6" x14ac:dyDescent="0.25">
      <c r="A5" t="s">
        <v>40</v>
      </c>
      <c r="B5">
        <v>1</v>
      </c>
      <c r="C5">
        <v>3</v>
      </c>
      <c r="D5">
        <v>3</v>
      </c>
    </row>
    <row r="6" spans="1:6" x14ac:dyDescent="0.25">
      <c r="A6" t="s">
        <v>80</v>
      </c>
      <c r="B6">
        <v>1</v>
      </c>
      <c r="C6">
        <v>5</v>
      </c>
      <c r="D6">
        <v>5</v>
      </c>
    </row>
    <row r="7" spans="1:6" x14ac:dyDescent="0.25">
      <c r="A7" t="s">
        <v>52</v>
      </c>
      <c r="B7">
        <v>1</v>
      </c>
      <c r="C7">
        <v>3</v>
      </c>
      <c r="D7">
        <v>3</v>
      </c>
    </row>
    <row r="8" spans="1:6" x14ac:dyDescent="0.25">
      <c r="A8" t="s">
        <v>79</v>
      </c>
      <c r="B8">
        <v>1</v>
      </c>
      <c r="C8">
        <v>5</v>
      </c>
      <c r="D8">
        <v>5</v>
      </c>
    </row>
    <row r="9" spans="1:6" x14ac:dyDescent="0.25">
      <c r="A9" t="s">
        <v>104</v>
      </c>
      <c r="B9">
        <v>1</v>
      </c>
      <c r="C9">
        <v>2</v>
      </c>
      <c r="D9">
        <v>2</v>
      </c>
    </row>
    <row r="10" spans="1:6" x14ac:dyDescent="0.25">
      <c r="A10" t="s">
        <v>82</v>
      </c>
      <c r="B10">
        <v>1</v>
      </c>
      <c r="C10">
        <v>5</v>
      </c>
      <c r="D10">
        <v>5</v>
      </c>
    </row>
    <row r="11" spans="1:6" x14ac:dyDescent="0.25">
      <c r="A11" t="s">
        <v>76</v>
      </c>
      <c r="B11">
        <v>2</v>
      </c>
      <c r="C11">
        <v>3</v>
      </c>
      <c r="D11">
        <v>6</v>
      </c>
    </row>
    <row r="12" spans="1:6" x14ac:dyDescent="0.25">
      <c r="A12" t="s">
        <v>64</v>
      </c>
      <c r="B12">
        <v>1</v>
      </c>
      <c r="C12">
        <v>3</v>
      </c>
      <c r="D12">
        <v>3</v>
      </c>
    </row>
    <row r="13" spans="1:6" x14ac:dyDescent="0.25">
      <c r="A13" t="s">
        <v>189</v>
      </c>
      <c r="B13">
        <v>1</v>
      </c>
      <c r="C13">
        <v>2</v>
      </c>
      <c r="D13">
        <v>2</v>
      </c>
    </row>
    <row r="14" spans="1:6" x14ac:dyDescent="0.25">
      <c r="A14" t="s">
        <v>49</v>
      </c>
      <c r="B14">
        <v>2</v>
      </c>
      <c r="C14">
        <v>5</v>
      </c>
      <c r="D14">
        <v>10</v>
      </c>
    </row>
    <row r="15" spans="1:6" x14ac:dyDescent="0.25">
      <c r="A15" t="s">
        <v>61</v>
      </c>
      <c r="B15">
        <v>1</v>
      </c>
      <c r="C15">
        <v>3</v>
      </c>
      <c r="D15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C1" sqref="C1:C1048576"/>
    </sheetView>
  </sheetViews>
  <sheetFormatPr defaultRowHeight="15" x14ac:dyDescent="0.25"/>
  <cols>
    <col min="1" max="1" width="24.1406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37</v>
      </c>
      <c r="B2">
        <v>2</v>
      </c>
      <c r="C2">
        <v>4</v>
      </c>
      <c r="D2">
        <v>8</v>
      </c>
    </row>
    <row r="3" spans="1:6" x14ac:dyDescent="0.25">
      <c r="A3" t="s">
        <v>60</v>
      </c>
      <c r="B3">
        <v>1</v>
      </c>
      <c r="C3">
        <v>3</v>
      </c>
      <c r="D3">
        <v>3</v>
      </c>
    </row>
    <row r="4" spans="1:6" x14ac:dyDescent="0.25">
      <c r="A4" t="s">
        <v>190</v>
      </c>
      <c r="B4">
        <v>1</v>
      </c>
      <c r="C4">
        <v>2</v>
      </c>
      <c r="D4">
        <v>2</v>
      </c>
    </row>
    <row r="5" spans="1:6" x14ac:dyDescent="0.25">
      <c r="A5" t="s">
        <v>191</v>
      </c>
      <c r="B5">
        <v>1</v>
      </c>
      <c r="C5">
        <v>2</v>
      </c>
      <c r="D5">
        <v>2</v>
      </c>
    </row>
    <row r="6" spans="1:6" x14ac:dyDescent="0.25">
      <c r="A6" t="s">
        <v>39</v>
      </c>
      <c r="B6">
        <v>1</v>
      </c>
      <c r="C6">
        <v>3</v>
      </c>
      <c r="D6">
        <v>3</v>
      </c>
    </row>
    <row r="7" spans="1:6" x14ac:dyDescent="0.25">
      <c r="A7" t="s">
        <v>71</v>
      </c>
      <c r="B7">
        <v>1</v>
      </c>
      <c r="C7">
        <v>5</v>
      </c>
      <c r="D7">
        <v>5</v>
      </c>
    </row>
    <row r="8" spans="1:6" x14ac:dyDescent="0.25">
      <c r="A8" t="s">
        <v>40</v>
      </c>
      <c r="B8">
        <v>1</v>
      </c>
      <c r="C8">
        <v>5</v>
      </c>
      <c r="D8">
        <v>5</v>
      </c>
    </row>
    <row r="9" spans="1:6" x14ac:dyDescent="0.25">
      <c r="A9" t="s">
        <v>81</v>
      </c>
      <c r="B9">
        <v>2</v>
      </c>
      <c r="C9">
        <v>3</v>
      </c>
      <c r="D9">
        <v>6</v>
      </c>
    </row>
    <row r="10" spans="1:6" x14ac:dyDescent="0.25">
      <c r="A10" t="s">
        <v>79</v>
      </c>
      <c r="B10">
        <v>1</v>
      </c>
      <c r="C10">
        <v>3</v>
      </c>
      <c r="D10">
        <v>3</v>
      </c>
    </row>
    <row r="11" spans="1:6" x14ac:dyDescent="0.25">
      <c r="A11" t="s">
        <v>63</v>
      </c>
      <c r="B11">
        <v>1</v>
      </c>
      <c r="C11">
        <v>5</v>
      </c>
      <c r="D11">
        <v>5</v>
      </c>
    </row>
    <row r="12" spans="1:6" x14ac:dyDescent="0.25">
      <c r="A12" t="s">
        <v>82</v>
      </c>
      <c r="B12">
        <v>1</v>
      </c>
      <c r="C12">
        <v>3</v>
      </c>
      <c r="D12">
        <v>3</v>
      </c>
    </row>
    <row r="13" spans="1:6" x14ac:dyDescent="0.25">
      <c r="A13" t="s">
        <v>64</v>
      </c>
      <c r="B13">
        <v>1</v>
      </c>
      <c r="C13">
        <v>3</v>
      </c>
      <c r="D13">
        <v>3</v>
      </c>
    </row>
    <row r="14" spans="1:6" x14ac:dyDescent="0.25">
      <c r="A14" t="s">
        <v>49</v>
      </c>
      <c r="B14">
        <v>1</v>
      </c>
      <c r="C14">
        <v>5</v>
      </c>
      <c r="D14">
        <v>5</v>
      </c>
    </row>
    <row r="15" spans="1:6" x14ac:dyDescent="0.25">
      <c r="A15" t="s">
        <v>91</v>
      </c>
      <c r="B15">
        <v>1</v>
      </c>
      <c r="C15">
        <v>2</v>
      </c>
      <c r="D15">
        <v>2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C1" sqref="C1:C1048576"/>
    </sheetView>
  </sheetViews>
  <sheetFormatPr defaultRowHeight="15" x14ac:dyDescent="0.25"/>
  <cols>
    <col min="1" max="1" width="16.57031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192</v>
      </c>
      <c r="B2">
        <v>1</v>
      </c>
      <c r="C2">
        <v>2</v>
      </c>
      <c r="D2">
        <v>2</v>
      </c>
    </row>
    <row r="3" spans="1:6" x14ac:dyDescent="0.25">
      <c r="A3" t="s">
        <v>86</v>
      </c>
      <c r="B3">
        <v>1</v>
      </c>
      <c r="C3">
        <v>2</v>
      </c>
      <c r="D3">
        <v>2</v>
      </c>
    </row>
    <row r="4" spans="1:6" x14ac:dyDescent="0.25">
      <c r="A4" t="s">
        <v>193</v>
      </c>
      <c r="B4">
        <v>1</v>
      </c>
      <c r="C4">
        <v>2</v>
      </c>
      <c r="D4">
        <v>2</v>
      </c>
    </row>
    <row r="5" spans="1:6" x14ac:dyDescent="0.25">
      <c r="A5" t="s">
        <v>39</v>
      </c>
      <c r="B5">
        <v>2</v>
      </c>
      <c r="C5">
        <v>4</v>
      </c>
      <c r="D5">
        <v>8</v>
      </c>
    </row>
    <row r="6" spans="1:6" x14ac:dyDescent="0.25">
      <c r="A6" t="s">
        <v>87</v>
      </c>
      <c r="B6">
        <v>1</v>
      </c>
      <c r="C6">
        <v>2</v>
      </c>
      <c r="D6">
        <v>2</v>
      </c>
    </row>
    <row r="7" spans="1:6" x14ac:dyDescent="0.25">
      <c r="A7" t="s">
        <v>80</v>
      </c>
      <c r="B7">
        <v>1</v>
      </c>
      <c r="C7">
        <v>3</v>
      </c>
      <c r="D7">
        <v>3</v>
      </c>
    </row>
    <row r="8" spans="1:6" x14ac:dyDescent="0.25">
      <c r="A8" t="s">
        <v>88</v>
      </c>
      <c r="B8">
        <v>1</v>
      </c>
      <c r="C8">
        <v>2</v>
      </c>
      <c r="D8">
        <v>2</v>
      </c>
    </row>
    <row r="9" spans="1:6" x14ac:dyDescent="0.25">
      <c r="A9" t="s">
        <v>89</v>
      </c>
      <c r="B9">
        <v>1</v>
      </c>
      <c r="C9">
        <v>2</v>
      </c>
      <c r="D9">
        <v>2</v>
      </c>
    </row>
    <row r="10" spans="1:6" x14ac:dyDescent="0.25">
      <c r="A10" t="s">
        <v>194</v>
      </c>
      <c r="B10">
        <v>1</v>
      </c>
      <c r="C10">
        <v>2</v>
      </c>
      <c r="D10">
        <v>2</v>
      </c>
    </row>
    <row r="11" spans="1:6" x14ac:dyDescent="0.25">
      <c r="A11" t="s">
        <v>195</v>
      </c>
      <c r="B11">
        <v>1</v>
      </c>
      <c r="C11">
        <v>2</v>
      </c>
      <c r="D11">
        <v>2</v>
      </c>
    </row>
    <row r="12" spans="1:6" x14ac:dyDescent="0.25">
      <c r="A12" t="s">
        <v>196</v>
      </c>
      <c r="B12">
        <v>1</v>
      </c>
      <c r="C12">
        <v>2</v>
      </c>
      <c r="D12">
        <v>2</v>
      </c>
    </row>
    <row r="13" spans="1:6" x14ac:dyDescent="0.25">
      <c r="A13" t="s">
        <v>197</v>
      </c>
      <c r="B13">
        <v>1</v>
      </c>
      <c r="C13">
        <v>2</v>
      </c>
      <c r="D13">
        <v>2</v>
      </c>
    </row>
    <row r="14" spans="1:6" x14ac:dyDescent="0.25">
      <c r="A14" t="s">
        <v>90</v>
      </c>
      <c r="B14">
        <v>1</v>
      </c>
      <c r="C14">
        <v>2</v>
      </c>
      <c r="D14">
        <v>2</v>
      </c>
    </row>
    <row r="15" spans="1:6" x14ac:dyDescent="0.25">
      <c r="A15" t="s">
        <v>91</v>
      </c>
      <c r="B15">
        <v>1</v>
      </c>
      <c r="C15">
        <v>2</v>
      </c>
      <c r="D15">
        <v>2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C1" sqref="C1:C1048576"/>
    </sheetView>
  </sheetViews>
  <sheetFormatPr defaultRowHeight="15" x14ac:dyDescent="0.25"/>
  <cols>
    <col min="1" max="1" width="19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65</v>
      </c>
      <c r="B2">
        <v>1</v>
      </c>
      <c r="C2">
        <v>3</v>
      </c>
      <c r="D2">
        <v>3</v>
      </c>
    </row>
    <row r="3" spans="1:6" x14ac:dyDescent="0.25">
      <c r="A3" t="s">
        <v>62</v>
      </c>
      <c r="B3">
        <v>1</v>
      </c>
      <c r="C3">
        <v>3</v>
      </c>
      <c r="D3">
        <v>3</v>
      </c>
    </row>
    <row r="4" spans="1:6" x14ac:dyDescent="0.25">
      <c r="A4" t="s">
        <v>66</v>
      </c>
      <c r="B4">
        <v>1</v>
      </c>
      <c r="C4">
        <v>3</v>
      </c>
      <c r="D4">
        <v>3</v>
      </c>
    </row>
    <row r="5" spans="1:6" x14ac:dyDescent="0.25">
      <c r="A5" t="s">
        <v>39</v>
      </c>
      <c r="B5">
        <v>3</v>
      </c>
      <c r="C5">
        <v>3.6666666666666665</v>
      </c>
      <c r="D5">
        <v>11</v>
      </c>
    </row>
    <row r="6" spans="1:6" x14ac:dyDescent="0.25">
      <c r="A6" t="s">
        <v>51</v>
      </c>
      <c r="B6">
        <v>2</v>
      </c>
      <c r="C6">
        <v>5</v>
      </c>
      <c r="D6">
        <v>10</v>
      </c>
    </row>
    <row r="7" spans="1:6" x14ac:dyDescent="0.25">
      <c r="A7" t="s">
        <v>87</v>
      </c>
      <c r="B7">
        <v>1</v>
      </c>
      <c r="C7">
        <v>8</v>
      </c>
      <c r="D7">
        <v>8</v>
      </c>
    </row>
    <row r="8" spans="1:6" x14ac:dyDescent="0.25">
      <c r="A8" t="s">
        <v>80</v>
      </c>
      <c r="B8">
        <v>1</v>
      </c>
      <c r="C8">
        <v>5</v>
      </c>
      <c r="D8">
        <v>5</v>
      </c>
    </row>
    <row r="9" spans="1:6" x14ac:dyDescent="0.25">
      <c r="A9" t="s">
        <v>89</v>
      </c>
      <c r="B9">
        <v>3</v>
      </c>
      <c r="C9">
        <v>6.333333333333333</v>
      </c>
      <c r="D9">
        <v>19</v>
      </c>
    </row>
    <row r="10" spans="1:6" x14ac:dyDescent="0.25">
      <c r="A10" t="s">
        <v>52</v>
      </c>
      <c r="B10">
        <v>1</v>
      </c>
      <c r="C10">
        <v>2</v>
      </c>
      <c r="D10">
        <v>2</v>
      </c>
    </row>
    <row r="11" spans="1:6" x14ac:dyDescent="0.25">
      <c r="A11" t="s">
        <v>92</v>
      </c>
      <c r="B11">
        <v>2</v>
      </c>
      <c r="C11">
        <v>2</v>
      </c>
      <c r="D11">
        <v>4</v>
      </c>
    </row>
    <row r="12" spans="1:6" x14ac:dyDescent="0.25">
      <c r="A12" t="s">
        <v>61</v>
      </c>
      <c r="B12">
        <v>2</v>
      </c>
      <c r="C12">
        <v>5</v>
      </c>
      <c r="D12">
        <v>10</v>
      </c>
    </row>
    <row r="13" spans="1:6" x14ac:dyDescent="0.25">
      <c r="A13" t="s">
        <v>93</v>
      </c>
      <c r="B13">
        <v>1</v>
      </c>
      <c r="C13">
        <v>3</v>
      </c>
      <c r="D13">
        <v>3</v>
      </c>
    </row>
    <row r="14" spans="1:6" x14ac:dyDescent="0.25">
      <c r="A14" t="s">
        <v>90</v>
      </c>
      <c r="B14">
        <v>1</v>
      </c>
      <c r="C14">
        <v>2</v>
      </c>
      <c r="D14">
        <v>2</v>
      </c>
    </row>
    <row r="15" spans="1:6" x14ac:dyDescent="0.25">
      <c r="A15" t="s">
        <v>91</v>
      </c>
      <c r="B15">
        <v>1</v>
      </c>
      <c r="C15">
        <v>8</v>
      </c>
      <c r="D15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C1" sqref="C1:C1048576"/>
    </sheetView>
  </sheetViews>
  <sheetFormatPr defaultRowHeight="15" x14ac:dyDescent="0.25"/>
  <cols>
    <col min="1" max="1" width="19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3</v>
      </c>
      <c r="C2">
        <v>2.3333333333333335</v>
      </c>
      <c r="D2">
        <v>7</v>
      </c>
    </row>
    <row r="3" spans="1:6" x14ac:dyDescent="0.25">
      <c r="A3" t="s">
        <v>65</v>
      </c>
      <c r="B3">
        <v>1</v>
      </c>
      <c r="C3">
        <v>8</v>
      </c>
      <c r="D3">
        <v>8</v>
      </c>
    </row>
    <row r="4" spans="1:6" x14ac:dyDescent="0.25">
      <c r="A4" t="s">
        <v>39</v>
      </c>
      <c r="B4">
        <v>2</v>
      </c>
      <c r="C4">
        <v>6.5</v>
      </c>
      <c r="D4">
        <v>13</v>
      </c>
    </row>
    <row r="5" spans="1:6" x14ac:dyDescent="0.25">
      <c r="A5" t="s">
        <v>198</v>
      </c>
      <c r="B5">
        <v>3</v>
      </c>
      <c r="C5">
        <v>2</v>
      </c>
      <c r="D5">
        <v>6</v>
      </c>
    </row>
    <row r="6" spans="1:6" x14ac:dyDescent="0.25">
      <c r="A6" t="s">
        <v>87</v>
      </c>
      <c r="B6">
        <v>3</v>
      </c>
      <c r="C6">
        <v>5.333333333333333</v>
      </c>
      <c r="D6">
        <v>16</v>
      </c>
    </row>
    <row r="7" spans="1:6" x14ac:dyDescent="0.25">
      <c r="A7" t="s">
        <v>80</v>
      </c>
      <c r="B7">
        <v>1</v>
      </c>
      <c r="C7">
        <v>5</v>
      </c>
      <c r="D7">
        <v>5</v>
      </c>
    </row>
    <row r="8" spans="1:6" x14ac:dyDescent="0.25">
      <c r="A8" t="s">
        <v>88</v>
      </c>
      <c r="B8">
        <v>2</v>
      </c>
      <c r="C8">
        <v>8</v>
      </c>
      <c r="D8">
        <v>16</v>
      </c>
    </row>
    <row r="9" spans="1:6" x14ac:dyDescent="0.25">
      <c r="A9" t="s">
        <v>89</v>
      </c>
      <c r="B9">
        <v>3</v>
      </c>
      <c r="C9">
        <v>6.333333333333333</v>
      </c>
      <c r="D9">
        <v>19</v>
      </c>
    </row>
    <row r="10" spans="1:6" x14ac:dyDescent="0.25">
      <c r="A10" t="s">
        <v>52</v>
      </c>
      <c r="B10">
        <v>1</v>
      </c>
      <c r="C10">
        <v>2</v>
      </c>
      <c r="D10">
        <v>2</v>
      </c>
    </row>
    <row r="11" spans="1:6" x14ac:dyDescent="0.25">
      <c r="A11" t="s">
        <v>92</v>
      </c>
      <c r="B11">
        <v>2</v>
      </c>
      <c r="C11">
        <v>2</v>
      </c>
      <c r="D11">
        <v>4</v>
      </c>
    </row>
    <row r="12" spans="1:6" x14ac:dyDescent="0.25">
      <c r="A12" t="s">
        <v>61</v>
      </c>
      <c r="B12">
        <v>2</v>
      </c>
      <c r="C12">
        <v>5</v>
      </c>
      <c r="D12">
        <v>10</v>
      </c>
    </row>
    <row r="13" spans="1:6" x14ac:dyDescent="0.25">
      <c r="A13" t="s">
        <v>93</v>
      </c>
      <c r="B13">
        <v>1</v>
      </c>
      <c r="C13">
        <v>3</v>
      </c>
      <c r="D13">
        <v>3</v>
      </c>
    </row>
    <row r="14" spans="1:6" x14ac:dyDescent="0.25">
      <c r="A14" t="s">
        <v>90</v>
      </c>
      <c r="B14">
        <v>1</v>
      </c>
      <c r="C14">
        <v>2</v>
      </c>
      <c r="D14">
        <v>2</v>
      </c>
    </row>
    <row r="15" spans="1:6" x14ac:dyDescent="0.25">
      <c r="A15" t="s">
        <v>91</v>
      </c>
      <c r="B15">
        <v>1</v>
      </c>
      <c r="C15">
        <v>8</v>
      </c>
      <c r="D15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C1" sqref="C1:C1048576"/>
    </sheetView>
  </sheetViews>
  <sheetFormatPr defaultRowHeight="15" x14ac:dyDescent="0.25"/>
  <cols>
    <col min="1" max="1" width="16.57031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4</v>
      </c>
      <c r="C2">
        <v>3</v>
      </c>
      <c r="D2">
        <v>12</v>
      </c>
    </row>
    <row r="3" spans="1:6" x14ac:dyDescent="0.25">
      <c r="A3" t="s">
        <v>86</v>
      </c>
      <c r="B3">
        <v>1</v>
      </c>
      <c r="C3">
        <v>2</v>
      </c>
      <c r="D3">
        <v>2</v>
      </c>
    </row>
    <row r="4" spans="1:6" x14ac:dyDescent="0.25">
      <c r="A4" t="s">
        <v>39</v>
      </c>
      <c r="B4">
        <v>3</v>
      </c>
      <c r="C4">
        <v>3</v>
      </c>
      <c r="D4">
        <v>9</v>
      </c>
    </row>
    <row r="5" spans="1:6" x14ac:dyDescent="0.25">
      <c r="A5" t="s">
        <v>51</v>
      </c>
      <c r="B5">
        <v>2</v>
      </c>
      <c r="C5">
        <v>8</v>
      </c>
      <c r="D5">
        <v>16</v>
      </c>
    </row>
    <row r="6" spans="1:6" x14ac:dyDescent="0.25">
      <c r="A6" t="s">
        <v>80</v>
      </c>
      <c r="B6">
        <v>1</v>
      </c>
      <c r="C6">
        <v>5</v>
      </c>
      <c r="D6">
        <v>5</v>
      </c>
    </row>
    <row r="7" spans="1:6" x14ac:dyDescent="0.25">
      <c r="A7" t="s">
        <v>92</v>
      </c>
      <c r="B7">
        <v>3</v>
      </c>
      <c r="C7">
        <v>3</v>
      </c>
      <c r="D7">
        <v>9</v>
      </c>
    </row>
    <row r="8" spans="1:6" x14ac:dyDescent="0.25">
      <c r="A8" t="s">
        <v>93</v>
      </c>
      <c r="B8">
        <v>3</v>
      </c>
      <c r="C8">
        <v>3</v>
      </c>
      <c r="D8">
        <v>9</v>
      </c>
    </row>
    <row r="9" spans="1:6" x14ac:dyDescent="0.25">
      <c r="A9" t="s">
        <v>90</v>
      </c>
      <c r="B9">
        <v>2</v>
      </c>
      <c r="C9">
        <v>3</v>
      </c>
      <c r="D9">
        <v>6</v>
      </c>
    </row>
    <row r="10" spans="1:6" x14ac:dyDescent="0.25">
      <c r="A10" t="s">
        <v>98</v>
      </c>
      <c r="B10">
        <v>3</v>
      </c>
      <c r="C10">
        <v>2.3333333333333335</v>
      </c>
      <c r="D10">
        <v>7</v>
      </c>
    </row>
    <row r="11" spans="1:6" x14ac:dyDescent="0.25">
      <c r="A11" t="s">
        <v>99</v>
      </c>
      <c r="B11">
        <v>1</v>
      </c>
      <c r="C11">
        <v>2</v>
      </c>
      <c r="D11">
        <v>2</v>
      </c>
    </row>
    <row r="12" spans="1:6" x14ac:dyDescent="0.25">
      <c r="A12" t="s">
        <v>92</v>
      </c>
      <c r="B12">
        <v>2</v>
      </c>
      <c r="C12">
        <v>3.5</v>
      </c>
      <c r="D12">
        <v>7</v>
      </c>
    </row>
    <row r="13" spans="1:6" x14ac:dyDescent="0.25">
      <c r="A13" t="s">
        <v>61</v>
      </c>
      <c r="B13">
        <v>3</v>
      </c>
      <c r="C13">
        <v>3.6666666666666665</v>
      </c>
      <c r="D13">
        <v>11</v>
      </c>
    </row>
    <row r="14" spans="1:6" x14ac:dyDescent="0.25">
      <c r="A14" t="s">
        <v>100</v>
      </c>
      <c r="B14">
        <v>3</v>
      </c>
      <c r="C14">
        <v>2.3333333333333335</v>
      </c>
      <c r="D14">
        <v>7</v>
      </c>
    </row>
    <row r="15" spans="1:6" x14ac:dyDescent="0.25">
      <c r="A15" t="s">
        <v>93</v>
      </c>
      <c r="B15">
        <v>3</v>
      </c>
      <c r="C15">
        <v>6</v>
      </c>
      <c r="D15">
        <v>18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C1" sqref="C1:C1048576"/>
    </sheetView>
  </sheetViews>
  <sheetFormatPr defaultRowHeight="15" x14ac:dyDescent="0.25"/>
  <cols>
    <col min="1" max="1" width="20.42578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94</v>
      </c>
      <c r="B2">
        <v>1</v>
      </c>
      <c r="C2">
        <v>1</v>
      </c>
      <c r="D2">
        <v>1</v>
      </c>
    </row>
    <row r="3" spans="1:6" x14ac:dyDescent="0.25">
      <c r="A3" t="s">
        <v>67</v>
      </c>
      <c r="B3">
        <v>2</v>
      </c>
      <c r="C3">
        <v>2.5</v>
      </c>
      <c r="D3">
        <v>5</v>
      </c>
    </row>
    <row r="4" spans="1:6" x14ac:dyDescent="0.25">
      <c r="A4" t="s">
        <v>39</v>
      </c>
      <c r="B4">
        <v>3</v>
      </c>
      <c r="C4">
        <v>5.333333333333333</v>
      </c>
      <c r="D4">
        <v>16</v>
      </c>
    </row>
    <row r="5" spans="1:6" x14ac:dyDescent="0.25">
      <c r="A5" t="s">
        <v>95</v>
      </c>
      <c r="B5">
        <v>1</v>
      </c>
      <c r="C5">
        <v>2</v>
      </c>
      <c r="D5">
        <v>2</v>
      </c>
    </row>
    <row r="6" spans="1:6" x14ac:dyDescent="0.25">
      <c r="A6" t="s">
        <v>96</v>
      </c>
      <c r="B6">
        <v>3</v>
      </c>
      <c r="C6">
        <v>2.3333333333333335</v>
      </c>
      <c r="D6">
        <v>7</v>
      </c>
    </row>
    <row r="7" spans="1:6" x14ac:dyDescent="0.25">
      <c r="A7" t="s">
        <v>80</v>
      </c>
      <c r="B7">
        <v>1</v>
      </c>
      <c r="C7">
        <v>8</v>
      </c>
      <c r="D7">
        <v>8</v>
      </c>
    </row>
    <row r="8" spans="1:6" x14ac:dyDescent="0.25">
      <c r="A8" t="s">
        <v>52</v>
      </c>
      <c r="B8">
        <v>2</v>
      </c>
      <c r="C8">
        <v>5</v>
      </c>
      <c r="D8">
        <v>10</v>
      </c>
    </row>
    <row r="9" spans="1:6" x14ac:dyDescent="0.25">
      <c r="A9" t="s">
        <v>97</v>
      </c>
      <c r="B9">
        <v>1</v>
      </c>
      <c r="C9">
        <v>1</v>
      </c>
      <c r="D9">
        <v>1</v>
      </c>
    </row>
    <row r="10" spans="1:6" x14ac:dyDescent="0.25">
      <c r="A10" t="s">
        <v>98</v>
      </c>
      <c r="B10">
        <v>3</v>
      </c>
      <c r="C10">
        <v>2.3333333333333335</v>
      </c>
      <c r="D10">
        <v>7</v>
      </c>
    </row>
    <row r="11" spans="1:6" x14ac:dyDescent="0.25">
      <c r="A11" t="s">
        <v>99</v>
      </c>
      <c r="B11">
        <v>1</v>
      </c>
      <c r="C11">
        <v>2</v>
      </c>
      <c r="D11">
        <v>2</v>
      </c>
    </row>
    <row r="12" spans="1:6" x14ac:dyDescent="0.25">
      <c r="A12" t="s">
        <v>92</v>
      </c>
      <c r="B12">
        <v>2</v>
      </c>
      <c r="C12">
        <v>3.5</v>
      </c>
      <c r="D12">
        <v>7</v>
      </c>
    </row>
    <row r="13" spans="1:6" x14ac:dyDescent="0.25">
      <c r="A13" t="s">
        <v>61</v>
      </c>
      <c r="B13">
        <v>3</v>
      </c>
      <c r="C13">
        <v>3.6666666666666665</v>
      </c>
      <c r="D13">
        <v>11</v>
      </c>
    </row>
    <row r="14" spans="1:6" x14ac:dyDescent="0.25">
      <c r="A14" t="s">
        <v>100</v>
      </c>
      <c r="B14">
        <v>3</v>
      </c>
      <c r="C14">
        <v>2.3333333333333335</v>
      </c>
      <c r="D14">
        <v>7</v>
      </c>
    </row>
    <row r="15" spans="1:6" x14ac:dyDescent="0.25">
      <c r="A15" t="s">
        <v>93</v>
      </c>
      <c r="B15">
        <v>3</v>
      </c>
      <c r="C15">
        <v>6</v>
      </c>
      <c r="D15">
        <v>18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C1" sqref="C1:C1048576"/>
    </sheetView>
  </sheetViews>
  <sheetFormatPr defaultRowHeight="15" x14ac:dyDescent="0.25"/>
  <cols>
    <col min="1" max="1" width="15.71093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2</v>
      </c>
      <c r="C2">
        <v>3</v>
      </c>
      <c r="D2">
        <v>6</v>
      </c>
    </row>
    <row r="3" spans="1:6" x14ac:dyDescent="0.25">
      <c r="A3" t="s">
        <v>101</v>
      </c>
      <c r="B3">
        <v>1</v>
      </c>
      <c r="C3">
        <v>1</v>
      </c>
      <c r="D3">
        <v>1</v>
      </c>
    </row>
    <row r="4" spans="1:6" x14ac:dyDescent="0.25">
      <c r="A4" t="s">
        <v>39</v>
      </c>
      <c r="B4">
        <v>1</v>
      </c>
      <c r="C4">
        <v>5</v>
      </c>
      <c r="D4">
        <v>5</v>
      </c>
    </row>
    <row r="5" spans="1:6" x14ac:dyDescent="0.25">
      <c r="A5" t="s">
        <v>96</v>
      </c>
      <c r="B5">
        <v>1</v>
      </c>
      <c r="C5">
        <v>3</v>
      </c>
      <c r="D5">
        <v>3</v>
      </c>
    </row>
    <row r="6" spans="1:6" x14ac:dyDescent="0.25">
      <c r="A6" t="s">
        <v>80</v>
      </c>
      <c r="B6">
        <v>1</v>
      </c>
      <c r="C6">
        <v>8</v>
      </c>
      <c r="D6">
        <v>8</v>
      </c>
    </row>
    <row r="7" spans="1:6" x14ac:dyDescent="0.25">
      <c r="A7" t="s">
        <v>98</v>
      </c>
      <c r="B7">
        <v>1</v>
      </c>
      <c r="C7">
        <v>3</v>
      </c>
      <c r="D7">
        <v>3</v>
      </c>
    </row>
    <row r="8" spans="1:6" x14ac:dyDescent="0.25">
      <c r="A8" t="s">
        <v>92</v>
      </c>
      <c r="B8">
        <v>1</v>
      </c>
      <c r="C8">
        <v>2</v>
      </c>
      <c r="D8">
        <v>2</v>
      </c>
    </row>
    <row r="9" spans="1:6" x14ac:dyDescent="0.25">
      <c r="A9" t="s">
        <v>100</v>
      </c>
      <c r="B9">
        <v>2</v>
      </c>
      <c r="C9">
        <v>2</v>
      </c>
      <c r="D9">
        <v>4</v>
      </c>
    </row>
    <row r="10" spans="1:6" x14ac:dyDescent="0.25">
      <c r="A10" t="s">
        <v>93</v>
      </c>
      <c r="B10">
        <v>2</v>
      </c>
      <c r="C10">
        <v>5</v>
      </c>
      <c r="D10">
        <v>10</v>
      </c>
    </row>
    <row r="11" spans="1:6" x14ac:dyDescent="0.25">
      <c r="A11" t="s">
        <v>90</v>
      </c>
      <c r="B11">
        <v>1</v>
      </c>
      <c r="C11">
        <v>5</v>
      </c>
      <c r="D11">
        <v>5</v>
      </c>
    </row>
    <row r="12" spans="1:6" x14ac:dyDescent="0.25">
      <c r="A12" t="s">
        <v>98</v>
      </c>
      <c r="B12">
        <v>2</v>
      </c>
      <c r="C12">
        <v>1.5</v>
      </c>
      <c r="D12">
        <v>3</v>
      </c>
    </row>
    <row r="13" spans="1:6" x14ac:dyDescent="0.25">
      <c r="A13" t="s">
        <v>99</v>
      </c>
      <c r="B13">
        <v>1</v>
      </c>
      <c r="C13">
        <v>8</v>
      </c>
      <c r="D13">
        <v>8</v>
      </c>
    </row>
    <row r="14" spans="1:6" x14ac:dyDescent="0.25">
      <c r="A14" t="s">
        <v>92</v>
      </c>
      <c r="B14">
        <v>1</v>
      </c>
      <c r="C14">
        <v>2</v>
      </c>
      <c r="D14">
        <v>2</v>
      </c>
    </row>
    <row r="15" spans="1:6" x14ac:dyDescent="0.25">
      <c r="A15" t="s">
        <v>61</v>
      </c>
      <c r="B15">
        <v>3</v>
      </c>
      <c r="C15">
        <v>3.3333333333333335</v>
      </c>
      <c r="D15">
        <v>10</v>
      </c>
    </row>
    <row r="16" spans="1:6" x14ac:dyDescent="0.25">
      <c r="A16" t="s">
        <v>100</v>
      </c>
      <c r="B16">
        <v>1</v>
      </c>
      <c r="C16">
        <v>3</v>
      </c>
      <c r="D16">
        <v>3</v>
      </c>
    </row>
    <row r="17" spans="1:4" x14ac:dyDescent="0.25">
      <c r="A17" t="s">
        <v>93</v>
      </c>
      <c r="B17">
        <v>1</v>
      </c>
      <c r="C17">
        <v>8</v>
      </c>
      <c r="D17">
        <v>8</v>
      </c>
    </row>
    <row r="18" spans="1:4" x14ac:dyDescent="0.25">
      <c r="A18" t="s">
        <v>90</v>
      </c>
      <c r="B18">
        <v>2</v>
      </c>
      <c r="C18">
        <v>3</v>
      </c>
      <c r="D18">
        <v>6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"/>
  <sheetViews>
    <sheetView workbookViewId="0">
      <selection activeCell="C1" sqref="C1:C1048576"/>
    </sheetView>
  </sheetViews>
  <sheetFormatPr defaultRowHeight="15" x14ac:dyDescent="0.25"/>
  <cols>
    <col min="1" max="1" width="20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94</v>
      </c>
      <c r="B2">
        <v>1</v>
      </c>
      <c r="C2">
        <v>2</v>
      </c>
      <c r="D2">
        <v>2</v>
      </c>
    </row>
    <row r="3" spans="1:6" x14ac:dyDescent="0.25">
      <c r="A3" t="s">
        <v>102</v>
      </c>
      <c r="B3">
        <v>4</v>
      </c>
      <c r="C3">
        <v>5</v>
      </c>
      <c r="D3">
        <v>20</v>
      </c>
    </row>
    <row r="4" spans="1:6" x14ac:dyDescent="0.25">
      <c r="A4" t="s">
        <v>39</v>
      </c>
      <c r="B4">
        <v>2</v>
      </c>
      <c r="C4">
        <v>5</v>
      </c>
      <c r="D4">
        <v>10</v>
      </c>
    </row>
    <row r="5" spans="1:6" x14ac:dyDescent="0.25">
      <c r="A5" t="s">
        <v>96</v>
      </c>
      <c r="B5">
        <v>1</v>
      </c>
      <c r="C5">
        <v>3</v>
      </c>
      <c r="D5">
        <v>3</v>
      </c>
    </row>
    <row r="6" spans="1:6" x14ac:dyDescent="0.25">
      <c r="A6" t="s">
        <v>80</v>
      </c>
      <c r="B6">
        <v>1</v>
      </c>
      <c r="C6">
        <v>8</v>
      </c>
      <c r="D6">
        <v>8</v>
      </c>
    </row>
    <row r="7" spans="1:6" x14ac:dyDescent="0.25">
      <c r="A7" t="s">
        <v>89</v>
      </c>
      <c r="B7">
        <v>1</v>
      </c>
      <c r="C7">
        <v>1</v>
      </c>
      <c r="D7">
        <v>1</v>
      </c>
    </row>
    <row r="8" spans="1:6" x14ac:dyDescent="0.25">
      <c r="A8" t="s">
        <v>52</v>
      </c>
      <c r="B8">
        <v>1</v>
      </c>
      <c r="C8">
        <v>5</v>
      </c>
      <c r="D8">
        <v>5</v>
      </c>
    </row>
    <row r="9" spans="1:6" x14ac:dyDescent="0.25">
      <c r="A9" t="s">
        <v>103</v>
      </c>
      <c r="B9">
        <v>2</v>
      </c>
      <c r="C9">
        <v>2</v>
      </c>
      <c r="D9">
        <v>4</v>
      </c>
    </row>
    <row r="10" spans="1:6" x14ac:dyDescent="0.25">
      <c r="A10" t="s">
        <v>104</v>
      </c>
      <c r="B10">
        <v>1</v>
      </c>
      <c r="C10">
        <v>5</v>
      </c>
      <c r="D10">
        <v>5</v>
      </c>
    </row>
    <row r="11" spans="1:6" x14ac:dyDescent="0.25">
      <c r="A11" t="s">
        <v>105</v>
      </c>
      <c r="B11">
        <v>1</v>
      </c>
      <c r="C11">
        <v>3</v>
      </c>
      <c r="D11">
        <v>3</v>
      </c>
    </row>
    <row r="12" spans="1:6" x14ac:dyDescent="0.25">
      <c r="A12" t="s">
        <v>98</v>
      </c>
      <c r="B12">
        <v>2</v>
      </c>
      <c r="C12">
        <v>1.5</v>
      </c>
      <c r="D12">
        <v>3</v>
      </c>
    </row>
    <row r="13" spans="1:6" x14ac:dyDescent="0.25">
      <c r="A13" t="s">
        <v>99</v>
      </c>
      <c r="B13">
        <v>1</v>
      </c>
      <c r="C13">
        <v>8</v>
      </c>
      <c r="D13">
        <v>8</v>
      </c>
    </row>
    <row r="14" spans="1:6" x14ac:dyDescent="0.25">
      <c r="A14" t="s">
        <v>92</v>
      </c>
      <c r="B14">
        <v>1</v>
      </c>
      <c r="C14">
        <v>2</v>
      </c>
      <c r="D14">
        <v>2</v>
      </c>
    </row>
    <row r="15" spans="1:6" x14ac:dyDescent="0.25">
      <c r="A15" t="s">
        <v>61</v>
      </c>
      <c r="B15">
        <v>3</v>
      </c>
      <c r="C15">
        <v>3.3333333333333335</v>
      </c>
      <c r="D15">
        <v>10</v>
      </c>
    </row>
    <row r="16" spans="1:6" x14ac:dyDescent="0.25">
      <c r="A16" t="s">
        <v>100</v>
      </c>
      <c r="B16">
        <v>1</v>
      </c>
      <c r="C16">
        <v>3</v>
      </c>
      <c r="D16">
        <v>3</v>
      </c>
    </row>
    <row r="17" spans="1:4" x14ac:dyDescent="0.25">
      <c r="A17" t="s">
        <v>93</v>
      </c>
      <c r="B17">
        <v>1</v>
      </c>
      <c r="C17">
        <v>8</v>
      </c>
      <c r="D17">
        <v>8</v>
      </c>
    </row>
    <row r="18" spans="1:4" x14ac:dyDescent="0.25">
      <c r="A18" t="s">
        <v>90</v>
      </c>
      <c r="B18">
        <v>2</v>
      </c>
      <c r="C18">
        <v>3</v>
      </c>
      <c r="D18">
        <v>6</v>
      </c>
    </row>
    <row r="19" spans="1:4" x14ac:dyDescent="0.25">
      <c r="A19" t="s">
        <v>110</v>
      </c>
      <c r="B19">
        <v>2</v>
      </c>
      <c r="C19">
        <v>5</v>
      </c>
      <c r="D19">
        <v>10</v>
      </c>
    </row>
    <row r="20" spans="1:4" x14ac:dyDescent="0.25">
      <c r="A20" t="s">
        <v>99</v>
      </c>
      <c r="B20">
        <v>2</v>
      </c>
      <c r="C20">
        <v>6.5</v>
      </c>
      <c r="D20">
        <v>13</v>
      </c>
    </row>
    <row r="21" spans="1:4" x14ac:dyDescent="0.25">
      <c r="A21" t="s">
        <v>92</v>
      </c>
      <c r="B21">
        <v>1</v>
      </c>
      <c r="C21">
        <v>2</v>
      </c>
      <c r="D21">
        <v>2</v>
      </c>
    </row>
    <row r="22" spans="1:4" x14ac:dyDescent="0.25">
      <c r="A22" t="s">
        <v>61</v>
      </c>
      <c r="B22">
        <v>3</v>
      </c>
      <c r="C22">
        <v>4.666666666666667</v>
      </c>
      <c r="D22">
        <v>14</v>
      </c>
    </row>
    <row r="23" spans="1:4" x14ac:dyDescent="0.25">
      <c r="A23" t="s">
        <v>111</v>
      </c>
      <c r="B23">
        <v>1</v>
      </c>
      <c r="C23">
        <v>3</v>
      </c>
      <c r="D23">
        <v>3</v>
      </c>
    </row>
    <row r="24" spans="1:4" x14ac:dyDescent="0.25">
      <c r="A24" t="s">
        <v>100</v>
      </c>
      <c r="B24">
        <v>1</v>
      </c>
      <c r="C24">
        <v>2</v>
      </c>
      <c r="D24">
        <v>2</v>
      </c>
    </row>
    <row r="25" spans="1:4" x14ac:dyDescent="0.25">
      <c r="A25" t="s">
        <v>112</v>
      </c>
      <c r="B25">
        <v>3</v>
      </c>
      <c r="C25">
        <v>2.3333333333333335</v>
      </c>
      <c r="D25">
        <v>7</v>
      </c>
    </row>
    <row r="26" spans="1:4" x14ac:dyDescent="0.25">
      <c r="A26" t="s">
        <v>113</v>
      </c>
      <c r="B26">
        <v>3</v>
      </c>
      <c r="C26">
        <v>4</v>
      </c>
      <c r="D26">
        <v>12</v>
      </c>
    </row>
    <row r="27" spans="1:4" x14ac:dyDescent="0.25">
      <c r="A27" t="s">
        <v>93</v>
      </c>
      <c r="B27">
        <v>2</v>
      </c>
      <c r="C27">
        <v>5</v>
      </c>
      <c r="D27">
        <v>10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"/>
  <sheetViews>
    <sheetView workbookViewId="0">
      <selection sqref="A1:XFD1"/>
    </sheetView>
  </sheetViews>
  <sheetFormatPr defaultRowHeight="15" x14ac:dyDescent="0.25"/>
  <cols>
    <col min="1" max="1" width="20.42578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4</v>
      </c>
      <c r="C2">
        <v>2.25</v>
      </c>
      <c r="D2">
        <v>9</v>
      </c>
    </row>
    <row r="3" spans="1:6" x14ac:dyDescent="0.25">
      <c r="A3" t="s">
        <v>106</v>
      </c>
      <c r="B3">
        <v>1</v>
      </c>
      <c r="C3">
        <v>2</v>
      </c>
      <c r="D3">
        <v>2</v>
      </c>
    </row>
    <row r="4" spans="1:6" x14ac:dyDescent="0.25">
      <c r="A4" t="s">
        <v>66</v>
      </c>
      <c r="B4">
        <v>3</v>
      </c>
      <c r="C4">
        <v>3.3333333333333335</v>
      </c>
      <c r="D4">
        <v>10</v>
      </c>
    </row>
    <row r="5" spans="1:6" x14ac:dyDescent="0.25">
      <c r="A5" t="s">
        <v>102</v>
      </c>
      <c r="B5">
        <v>1</v>
      </c>
      <c r="C5">
        <v>5</v>
      </c>
      <c r="D5">
        <v>5</v>
      </c>
    </row>
    <row r="6" spans="1:6" x14ac:dyDescent="0.25">
      <c r="A6" t="s">
        <v>39</v>
      </c>
      <c r="B6">
        <v>3</v>
      </c>
      <c r="C6">
        <v>4.333333333333333</v>
      </c>
      <c r="D6">
        <v>13</v>
      </c>
    </row>
    <row r="7" spans="1:6" x14ac:dyDescent="0.25">
      <c r="A7" t="s">
        <v>95</v>
      </c>
      <c r="B7">
        <v>1</v>
      </c>
      <c r="C7">
        <v>5</v>
      </c>
      <c r="D7">
        <v>5</v>
      </c>
    </row>
    <row r="8" spans="1:6" x14ac:dyDescent="0.25">
      <c r="A8" t="s">
        <v>107</v>
      </c>
      <c r="B8">
        <v>1</v>
      </c>
      <c r="C8">
        <v>2</v>
      </c>
      <c r="D8">
        <v>2</v>
      </c>
    </row>
    <row r="9" spans="1:6" x14ac:dyDescent="0.25">
      <c r="A9" t="s">
        <v>199</v>
      </c>
      <c r="B9">
        <v>2</v>
      </c>
      <c r="C9">
        <v>3</v>
      </c>
      <c r="D9">
        <v>6</v>
      </c>
    </row>
    <row r="10" spans="1:6" x14ac:dyDescent="0.25">
      <c r="A10" t="s">
        <v>96</v>
      </c>
      <c r="B10">
        <v>2</v>
      </c>
      <c r="C10">
        <v>4.5</v>
      </c>
      <c r="D10">
        <v>9</v>
      </c>
    </row>
    <row r="11" spans="1:6" x14ac:dyDescent="0.25">
      <c r="A11" t="s">
        <v>80</v>
      </c>
      <c r="B11">
        <v>2</v>
      </c>
      <c r="C11">
        <v>4.5</v>
      </c>
      <c r="D11">
        <v>9</v>
      </c>
    </row>
    <row r="12" spans="1:6" x14ac:dyDescent="0.25">
      <c r="A12" t="s">
        <v>88</v>
      </c>
      <c r="B12">
        <v>1</v>
      </c>
      <c r="C12">
        <v>5</v>
      </c>
      <c r="D12">
        <v>5</v>
      </c>
    </row>
    <row r="13" spans="1:6" x14ac:dyDescent="0.25">
      <c r="A13" t="s">
        <v>108</v>
      </c>
      <c r="B13">
        <v>5</v>
      </c>
      <c r="C13">
        <v>2.4</v>
      </c>
      <c r="D13">
        <v>12</v>
      </c>
    </row>
    <row r="14" spans="1:6" x14ac:dyDescent="0.25">
      <c r="A14" t="s">
        <v>52</v>
      </c>
      <c r="B14">
        <v>3</v>
      </c>
      <c r="C14">
        <v>3.6666666666666665</v>
      </c>
      <c r="D14">
        <v>11</v>
      </c>
    </row>
    <row r="15" spans="1:6" x14ac:dyDescent="0.25">
      <c r="A15" t="s">
        <v>103</v>
      </c>
      <c r="B15">
        <v>2</v>
      </c>
      <c r="C15">
        <v>2.5</v>
      </c>
      <c r="D15">
        <v>5</v>
      </c>
    </row>
    <row r="16" spans="1:6" x14ac:dyDescent="0.25">
      <c r="A16" t="s">
        <v>105</v>
      </c>
      <c r="B16">
        <v>2</v>
      </c>
      <c r="C16">
        <v>2</v>
      </c>
      <c r="D16">
        <v>4</v>
      </c>
    </row>
    <row r="17" spans="1:4" x14ac:dyDescent="0.25">
      <c r="A17" t="s">
        <v>98</v>
      </c>
      <c r="B17">
        <v>2</v>
      </c>
      <c r="C17">
        <v>5</v>
      </c>
      <c r="D17">
        <v>10</v>
      </c>
    </row>
    <row r="18" spans="1:4" x14ac:dyDescent="0.25">
      <c r="A18" t="s">
        <v>109</v>
      </c>
      <c r="B18">
        <v>3</v>
      </c>
      <c r="C18">
        <v>2.6666666666666665</v>
      </c>
      <c r="D18">
        <v>8</v>
      </c>
    </row>
    <row r="19" spans="1:4" x14ac:dyDescent="0.25">
      <c r="A19" t="s">
        <v>110</v>
      </c>
      <c r="B19">
        <v>2</v>
      </c>
      <c r="C19">
        <v>5</v>
      </c>
      <c r="D19">
        <v>10</v>
      </c>
    </row>
    <row r="20" spans="1:4" x14ac:dyDescent="0.25">
      <c r="A20" t="s">
        <v>99</v>
      </c>
      <c r="B20">
        <v>2</v>
      </c>
      <c r="C20">
        <v>6.5</v>
      </c>
      <c r="D20">
        <v>13</v>
      </c>
    </row>
    <row r="21" spans="1:4" x14ac:dyDescent="0.25">
      <c r="A21" t="s">
        <v>92</v>
      </c>
      <c r="B21">
        <v>1</v>
      </c>
      <c r="C21">
        <v>2</v>
      </c>
      <c r="D21">
        <v>2</v>
      </c>
    </row>
    <row r="22" spans="1:4" x14ac:dyDescent="0.25">
      <c r="A22" t="s">
        <v>61</v>
      </c>
      <c r="B22">
        <v>3</v>
      </c>
      <c r="C22">
        <v>4.666666666666667</v>
      </c>
      <c r="D22">
        <v>14</v>
      </c>
    </row>
    <row r="23" spans="1:4" x14ac:dyDescent="0.25">
      <c r="A23" t="s">
        <v>111</v>
      </c>
      <c r="B23">
        <v>1</v>
      </c>
      <c r="C23">
        <v>3</v>
      </c>
      <c r="D23">
        <v>3</v>
      </c>
    </row>
    <row r="24" spans="1:4" x14ac:dyDescent="0.25">
      <c r="A24" t="s">
        <v>100</v>
      </c>
      <c r="B24">
        <v>1</v>
      </c>
      <c r="C24">
        <v>2</v>
      </c>
      <c r="D24">
        <v>2</v>
      </c>
    </row>
    <row r="25" spans="1:4" x14ac:dyDescent="0.25">
      <c r="A25" t="s">
        <v>112</v>
      </c>
      <c r="B25">
        <v>3</v>
      </c>
      <c r="C25">
        <v>2.3333333333333335</v>
      </c>
      <c r="D25">
        <v>7</v>
      </c>
    </row>
    <row r="26" spans="1:4" x14ac:dyDescent="0.25">
      <c r="A26" t="s">
        <v>113</v>
      </c>
      <c r="B26">
        <v>3</v>
      </c>
      <c r="C26">
        <v>4</v>
      </c>
      <c r="D26">
        <v>12</v>
      </c>
    </row>
    <row r="27" spans="1:4" x14ac:dyDescent="0.25">
      <c r="A27" t="s">
        <v>93</v>
      </c>
      <c r="B27">
        <v>2</v>
      </c>
      <c r="C27">
        <v>5</v>
      </c>
      <c r="D27">
        <v>10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XFD1"/>
    </sheetView>
  </sheetViews>
  <sheetFormatPr defaultRowHeight="15" x14ac:dyDescent="0.25"/>
  <cols>
    <col min="1" max="1" width="20.42578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2</v>
      </c>
      <c r="C2">
        <v>3.5</v>
      </c>
      <c r="D2">
        <v>7</v>
      </c>
    </row>
    <row r="3" spans="1:6" x14ac:dyDescent="0.25">
      <c r="A3" t="s">
        <v>86</v>
      </c>
      <c r="B3">
        <v>1</v>
      </c>
      <c r="C3">
        <v>8</v>
      </c>
      <c r="D3">
        <v>8</v>
      </c>
    </row>
    <row r="4" spans="1:6" x14ac:dyDescent="0.25">
      <c r="A4" t="s">
        <v>106</v>
      </c>
      <c r="B4">
        <v>1</v>
      </c>
      <c r="C4">
        <v>3</v>
      </c>
      <c r="D4">
        <v>3</v>
      </c>
    </row>
    <row r="5" spans="1:6" x14ac:dyDescent="0.25">
      <c r="A5" t="s">
        <v>101</v>
      </c>
      <c r="B5">
        <v>1</v>
      </c>
      <c r="C5">
        <v>3</v>
      </c>
      <c r="D5">
        <v>3</v>
      </c>
    </row>
    <row r="6" spans="1:6" x14ac:dyDescent="0.25">
      <c r="A6" t="s">
        <v>39</v>
      </c>
      <c r="B6">
        <v>2</v>
      </c>
      <c r="C6">
        <v>5</v>
      </c>
      <c r="D6">
        <v>10</v>
      </c>
    </row>
    <row r="7" spans="1:6" x14ac:dyDescent="0.25">
      <c r="A7" t="s">
        <v>114</v>
      </c>
      <c r="B7">
        <v>1</v>
      </c>
      <c r="C7">
        <v>2</v>
      </c>
      <c r="D7">
        <v>2</v>
      </c>
    </row>
    <row r="8" spans="1:6" x14ac:dyDescent="0.25">
      <c r="A8" t="s">
        <v>95</v>
      </c>
      <c r="B8">
        <v>2</v>
      </c>
      <c r="C8">
        <v>3</v>
      </c>
      <c r="D8">
        <v>6</v>
      </c>
    </row>
    <row r="9" spans="1:6" x14ac:dyDescent="0.25">
      <c r="A9" t="s">
        <v>107</v>
      </c>
      <c r="B9">
        <v>1</v>
      </c>
      <c r="C9">
        <v>3</v>
      </c>
      <c r="D9">
        <v>3</v>
      </c>
    </row>
    <row r="10" spans="1:6" x14ac:dyDescent="0.25">
      <c r="A10" t="s">
        <v>80</v>
      </c>
      <c r="B10">
        <v>1</v>
      </c>
      <c r="C10">
        <v>8</v>
      </c>
      <c r="D10">
        <v>8</v>
      </c>
    </row>
    <row r="11" spans="1:6" x14ac:dyDescent="0.25">
      <c r="A11" t="s">
        <v>108</v>
      </c>
      <c r="B11">
        <v>3</v>
      </c>
      <c r="C11">
        <v>3.6666666666666665</v>
      </c>
      <c r="D11">
        <v>11</v>
      </c>
    </row>
    <row r="12" spans="1:6" x14ac:dyDescent="0.25">
      <c r="A12" t="s">
        <v>52</v>
      </c>
      <c r="B12">
        <v>2</v>
      </c>
      <c r="C12">
        <v>4</v>
      </c>
      <c r="D12">
        <v>8</v>
      </c>
    </row>
    <row r="13" spans="1:6" x14ac:dyDescent="0.25">
      <c r="A13" t="s">
        <v>97</v>
      </c>
      <c r="B13">
        <v>1</v>
      </c>
      <c r="C13">
        <v>1</v>
      </c>
      <c r="D13">
        <v>1</v>
      </c>
    </row>
    <row r="14" spans="1:6" x14ac:dyDescent="0.25">
      <c r="A14" t="s">
        <v>76</v>
      </c>
      <c r="B14">
        <v>1</v>
      </c>
      <c r="C14">
        <v>2</v>
      </c>
      <c r="D14">
        <v>2</v>
      </c>
    </row>
    <row r="15" spans="1:6" x14ac:dyDescent="0.25">
      <c r="A15" t="s">
        <v>92</v>
      </c>
      <c r="B15">
        <v>2</v>
      </c>
      <c r="C15">
        <v>5.5</v>
      </c>
      <c r="D15">
        <v>11</v>
      </c>
    </row>
    <row r="16" spans="1:6" x14ac:dyDescent="0.25">
      <c r="A16" t="s">
        <v>61</v>
      </c>
      <c r="B16">
        <v>2</v>
      </c>
      <c r="C16">
        <v>4</v>
      </c>
      <c r="D16">
        <v>8</v>
      </c>
    </row>
    <row r="17" spans="1:4" x14ac:dyDescent="0.25">
      <c r="A17" t="s">
        <v>100</v>
      </c>
      <c r="B17">
        <v>1</v>
      </c>
      <c r="C17">
        <v>3</v>
      </c>
      <c r="D17">
        <v>3</v>
      </c>
    </row>
    <row r="18" spans="1:4" x14ac:dyDescent="0.25">
      <c r="A18" t="s">
        <v>112</v>
      </c>
      <c r="B18">
        <v>1</v>
      </c>
      <c r="C18">
        <v>2</v>
      </c>
      <c r="D18">
        <v>2</v>
      </c>
    </row>
    <row r="19" spans="1:4" x14ac:dyDescent="0.25">
      <c r="A19" t="s">
        <v>93</v>
      </c>
      <c r="B19">
        <v>3</v>
      </c>
      <c r="C19">
        <v>3</v>
      </c>
      <c r="D19">
        <v>9</v>
      </c>
    </row>
    <row r="20" spans="1:4" x14ac:dyDescent="0.25">
      <c r="A20" t="s">
        <v>90</v>
      </c>
      <c r="B20">
        <v>1</v>
      </c>
      <c r="C20">
        <v>3</v>
      </c>
      <c r="D20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sqref="A1:XFD1"/>
    </sheetView>
  </sheetViews>
  <sheetFormatPr defaultRowHeight="15" x14ac:dyDescent="0.25"/>
  <cols>
    <col min="1" max="1" width="16.140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3</v>
      </c>
      <c r="C2">
        <v>2.6666666666666665</v>
      </c>
      <c r="D2">
        <v>8</v>
      </c>
    </row>
    <row r="3" spans="1:6" x14ac:dyDescent="0.25">
      <c r="A3" t="s">
        <v>66</v>
      </c>
      <c r="B3">
        <v>7</v>
      </c>
      <c r="C3">
        <v>2.2857142857142856</v>
      </c>
      <c r="D3">
        <v>16</v>
      </c>
    </row>
    <row r="4" spans="1:6" x14ac:dyDescent="0.25">
      <c r="A4" t="s">
        <v>39</v>
      </c>
      <c r="B4">
        <v>3</v>
      </c>
      <c r="C4">
        <v>5</v>
      </c>
      <c r="D4">
        <v>15</v>
      </c>
    </row>
    <row r="5" spans="1:6" x14ac:dyDescent="0.25">
      <c r="A5" t="s">
        <v>107</v>
      </c>
      <c r="B5">
        <v>1</v>
      </c>
      <c r="C5">
        <v>3</v>
      </c>
      <c r="D5">
        <v>3</v>
      </c>
    </row>
    <row r="6" spans="1:6" x14ac:dyDescent="0.25">
      <c r="A6" t="s">
        <v>96</v>
      </c>
      <c r="B6">
        <v>1</v>
      </c>
      <c r="C6">
        <v>5</v>
      </c>
      <c r="D6">
        <v>5</v>
      </c>
    </row>
    <row r="7" spans="1:6" x14ac:dyDescent="0.25">
      <c r="A7" t="s">
        <v>108</v>
      </c>
      <c r="B7">
        <v>3</v>
      </c>
      <c r="C7">
        <v>2.3333333333333335</v>
      </c>
      <c r="D7">
        <v>7</v>
      </c>
    </row>
    <row r="8" spans="1:6" x14ac:dyDescent="0.25">
      <c r="A8" t="s">
        <v>109</v>
      </c>
      <c r="B8">
        <v>3</v>
      </c>
      <c r="C8">
        <v>2</v>
      </c>
      <c r="D8">
        <v>6</v>
      </c>
    </row>
    <row r="9" spans="1:6" x14ac:dyDescent="0.25">
      <c r="A9" t="s">
        <v>110</v>
      </c>
      <c r="B9">
        <v>2</v>
      </c>
      <c r="C9">
        <v>2.5</v>
      </c>
      <c r="D9">
        <v>5</v>
      </c>
    </row>
    <row r="10" spans="1:6" x14ac:dyDescent="0.25">
      <c r="A10" t="s">
        <v>92</v>
      </c>
      <c r="B10">
        <v>1</v>
      </c>
      <c r="C10">
        <v>3</v>
      </c>
      <c r="D10">
        <v>3</v>
      </c>
    </row>
    <row r="11" spans="1:6" x14ac:dyDescent="0.25">
      <c r="A11" t="s">
        <v>111</v>
      </c>
      <c r="B11">
        <v>1</v>
      </c>
      <c r="C11">
        <v>2</v>
      </c>
      <c r="D11">
        <v>2</v>
      </c>
    </row>
    <row r="12" spans="1:6" x14ac:dyDescent="0.25">
      <c r="A12" t="s">
        <v>113</v>
      </c>
      <c r="B12">
        <v>3</v>
      </c>
      <c r="C12">
        <v>6</v>
      </c>
      <c r="D12">
        <v>18</v>
      </c>
    </row>
    <row r="13" spans="1:6" x14ac:dyDescent="0.25">
      <c r="A13" t="s">
        <v>93</v>
      </c>
      <c r="B13">
        <v>5</v>
      </c>
      <c r="C13">
        <v>4.4000000000000004</v>
      </c>
      <c r="D13">
        <v>22</v>
      </c>
    </row>
    <row r="14" spans="1:6" x14ac:dyDescent="0.25">
      <c r="A14" t="s">
        <v>115</v>
      </c>
      <c r="B14">
        <v>1</v>
      </c>
      <c r="C14">
        <v>2</v>
      </c>
      <c r="D14">
        <v>2</v>
      </c>
    </row>
    <row r="15" spans="1:6" x14ac:dyDescent="0.25">
      <c r="A15" t="s">
        <v>111</v>
      </c>
      <c r="B15">
        <v>1</v>
      </c>
      <c r="C15">
        <v>3</v>
      </c>
      <c r="D15">
        <v>3</v>
      </c>
    </row>
    <row r="16" spans="1:6" x14ac:dyDescent="0.25">
      <c r="A16" t="s">
        <v>113</v>
      </c>
      <c r="B16">
        <v>4</v>
      </c>
      <c r="C16">
        <v>3.25</v>
      </c>
      <c r="D16">
        <v>13</v>
      </c>
    </row>
    <row r="17" spans="1:4" x14ac:dyDescent="0.25">
      <c r="A17" t="s">
        <v>93</v>
      </c>
      <c r="B17">
        <v>3</v>
      </c>
      <c r="C17">
        <v>4.666666666666667</v>
      </c>
      <c r="D17">
        <v>14</v>
      </c>
    </row>
    <row r="18" spans="1:4" x14ac:dyDescent="0.25">
      <c r="A18" t="s">
        <v>90</v>
      </c>
      <c r="B18">
        <v>1</v>
      </c>
      <c r="C18">
        <v>3</v>
      </c>
      <c r="D18">
        <v>3</v>
      </c>
    </row>
    <row r="19" spans="1:4" x14ac:dyDescent="0.25">
      <c r="A19" t="s">
        <v>115</v>
      </c>
      <c r="B19">
        <v>1</v>
      </c>
      <c r="C19">
        <v>3</v>
      </c>
      <c r="D19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sqref="A1:XFD1"/>
    </sheetView>
  </sheetViews>
  <sheetFormatPr defaultRowHeight="15" x14ac:dyDescent="0.25"/>
  <cols>
    <col min="1" max="1" width="19.855468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6</v>
      </c>
      <c r="C2">
        <v>3.3333333333333335</v>
      </c>
      <c r="D2">
        <v>20</v>
      </c>
    </row>
    <row r="3" spans="1:6" x14ac:dyDescent="0.25">
      <c r="A3" t="s">
        <v>106</v>
      </c>
      <c r="B3">
        <v>1</v>
      </c>
      <c r="C3">
        <v>5</v>
      </c>
      <c r="D3">
        <v>5</v>
      </c>
    </row>
    <row r="4" spans="1:6" x14ac:dyDescent="0.25">
      <c r="A4" t="s">
        <v>69</v>
      </c>
      <c r="B4">
        <v>2</v>
      </c>
      <c r="C4">
        <v>8</v>
      </c>
      <c r="D4">
        <v>16</v>
      </c>
    </row>
    <row r="5" spans="1:6" x14ac:dyDescent="0.25">
      <c r="A5" t="s">
        <v>66</v>
      </c>
      <c r="B5">
        <v>6</v>
      </c>
      <c r="C5">
        <v>3.3333333333333335</v>
      </c>
      <c r="D5">
        <v>20</v>
      </c>
    </row>
    <row r="6" spans="1:6" x14ac:dyDescent="0.25">
      <c r="A6" t="s">
        <v>39</v>
      </c>
      <c r="B6">
        <v>1</v>
      </c>
      <c r="C6">
        <v>5</v>
      </c>
      <c r="D6">
        <v>5</v>
      </c>
    </row>
    <row r="7" spans="1:6" x14ac:dyDescent="0.25">
      <c r="A7" t="s">
        <v>114</v>
      </c>
      <c r="B7">
        <v>1</v>
      </c>
      <c r="C7">
        <v>5</v>
      </c>
      <c r="D7">
        <v>5</v>
      </c>
    </row>
    <row r="8" spans="1:6" x14ac:dyDescent="0.25">
      <c r="A8" t="s">
        <v>107</v>
      </c>
      <c r="B8">
        <v>1</v>
      </c>
      <c r="C8">
        <v>3</v>
      </c>
      <c r="D8">
        <v>3</v>
      </c>
    </row>
    <row r="9" spans="1:6" x14ac:dyDescent="0.25">
      <c r="A9" t="s">
        <v>96</v>
      </c>
      <c r="B9">
        <v>1</v>
      </c>
      <c r="C9">
        <v>3</v>
      </c>
      <c r="D9">
        <v>3</v>
      </c>
    </row>
    <row r="10" spans="1:6" x14ac:dyDescent="0.25">
      <c r="A10" t="s">
        <v>80</v>
      </c>
      <c r="B10">
        <v>7</v>
      </c>
      <c r="C10">
        <v>3.2857142857142856</v>
      </c>
      <c r="D10">
        <v>23</v>
      </c>
    </row>
    <row r="11" spans="1:6" x14ac:dyDescent="0.25">
      <c r="A11" t="s">
        <v>108</v>
      </c>
      <c r="B11">
        <v>4</v>
      </c>
      <c r="C11">
        <v>4</v>
      </c>
      <c r="D11">
        <v>16</v>
      </c>
    </row>
    <row r="12" spans="1:6" x14ac:dyDescent="0.25">
      <c r="A12" t="s">
        <v>109</v>
      </c>
      <c r="B12">
        <v>6</v>
      </c>
      <c r="C12">
        <v>4.5</v>
      </c>
      <c r="D12">
        <v>27</v>
      </c>
    </row>
    <row r="13" spans="1:6" x14ac:dyDescent="0.25">
      <c r="A13" t="s">
        <v>110</v>
      </c>
      <c r="B13">
        <v>5</v>
      </c>
      <c r="C13">
        <v>3.8</v>
      </c>
      <c r="D13">
        <v>19</v>
      </c>
    </row>
    <row r="14" spans="1:6" x14ac:dyDescent="0.25">
      <c r="A14" t="s">
        <v>92</v>
      </c>
      <c r="B14">
        <v>3</v>
      </c>
      <c r="C14">
        <v>3.6666666666666665</v>
      </c>
      <c r="D14">
        <v>11</v>
      </c>
    </row>
    <row r="15" spans="1:6" x14ac:dyDescent="0.25">
      <c r="A15" t="s">
        <v>111</v>
      </c>
      <c r="B15">
        <v>1</v>
      </c>
      <c r="C15">
        <v>3</v>
      </c>
      <c r="D15">
        <v>3</v>
      </c>
    </row>
    <row r="16" spans="1:6" x14ac:dyDescent="0.25">
      <c r="A16" t="s">
        <v>113</v>
      </c>
      <c r="B16">
        <v>4</v>
      </c>
      <c r="C16">
        <v>3.25</v>
      </c>
      <c r="D16">
        <v>13</v>
      </c>
    </row>
    <row r="17" spans="1:4" x14ac:dyDescent="0.25">
      <c r="A17" t="s">
        <v>93</v>
      </c>
      <c r="B17">
        <v>3</v>
      </c>
      <c r="C17">
        <v>4.666666666666667</v>
      </c>
      <c r="D17">
        <v>14</v>
      </c>
    </row>
    <row r="18" spans="1:4" x14ac:dyDescent="0.25">
      <c r="A18" t="s">
        <v>90</v>
      </c>
      <c r="B18">
        <v>1</v>
      </c>
      <c r="C18">
        <v>3</v>
      </c>
      <c r="D18">
        <v>3</v>
      </c>
    </row>
    <row r="19" spans="1:4" x14ac:dyDescent="0.25">
      <c r="A19" t="s">
        <v>115</v>
      </c>
      <c r="B19">
        <v>1</v>
      </c>
      <c r="C19">
        <v>3</v>
      </c>
      <c r="D19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sqref="A1:XFD1"/>
    </sheetView>
  </sheetViews>
  <sheetFormatPr defaultRowHeight="15" x14ac:dyDescent="0.25"/>
  <cols>
    <col min="1" max="1" width="18.71093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67</v>
      </c>
      <c r="B2">
        <v>7</v>
      </c>
      <c r="C2">
        <v>4.2857142857142856</v>
      </c>
      <c r="D2">
        <v>30</v>
      </c>
    </row>
    <row r="3" spans="1:6" x14ac:dyDescent="0.25">
      <c r="A3" t="s">
        <v>66</v>
      </c>
      <c r="B3">
        <v>5</v>
      </c>
      <c r="C3">
        <v>3.6</v>
      </c>
      <c r="D3">
        <v>18</v>
      </c>
    </row>
    <row r="4" spans="1:6" x14ac:dyDescent="0.25">
      <c r="A4" t="s">
        <v>101</v>
      </c>
      <c r="B4">
        <v>1</v>
      </c>
      <c r="C4">
        <v>8</v>
      </c>
      <c r="D4">
        <v>8</v>
      </c>
    </row>
    <row r="5" spans="1:6" x14ac:dyDescent="0.25">
      <c r="A5" t="s">
        <v>39</v>
      </c>
      <c r="B5">
        <v>3</v>
      </c>
      <c r="C5">
        <v>5.333333333333333</v>
      </c>
      <c r="D5">
        <v>16</v>
      </c>
    </row>
    <row r="6" spans="1:6" x14ac:dyDescent="0.25">
      <c r="A6" t="s">
        <v>114</v>
      </c>
      <c r="B6">
        <v>1</v>
      </c>
      <c r="C6">
        <v>2</v>
      </c>
      <c r="D6">
        <v>2</v>
      </c>
    </row>
    <row r="7" spans="1:6" x14ac:dyDescent="0.25">
      <c r="A7" t="s">
        <v>96</v>
      </c>
      <c r="B7">
        <v>1</v>
      </c>
      <c r="C7">
        <v>5</v>
      </c>
      <c r="D7">
        <v>5</v>
      </c>
    </row>
    <row r="8" spans="1:6" x14ac:dyDescent="0.25">
      <c r="A8" t="s">
        <v>80</v>
      </c>
      <c r="B8">
        <v>1</v>
      </c>
      <c r="C8">
        <v>5</v>
      </c>
      <c r="D8">
        <v>5</v>
      </c>
    </row>
    <row r="9" spans="1:6" x14ac:dyDescent="0.25">
      <c r="A9" t="s">
        <v>108</v>
      </c>
      <c r="B9">
        <v>3</v>
      </c>
      <c r="C9">
        <v>4.333333333333333</v>
      </c>
      <c r="D9">
        <v>13</v>
      </c>
    </row>
    <row r="10" spans="1:6" x14ac:dyDescent="0.25">
      <c r="A10" t="s">
        <v>105</v>
      </c>
      <c r="B10">
        <v>2</v>
      </c>
      <c r="C10">
        <v>8</v>
      </c>
      <c r="D10">
        <v>16</v>
      </c>
    </row>
    <row r="11" spans="1:6" x14ac:dyDescent="0.25">
      <c r="A11" t="s">
        <v>109</v>
      </c>
      <c r="B11">
        <v>4</v>
      </c>
      <c r="C11">
        <v>3.5</v>
      </c>
      <c r="D11">
        <v>14</v>
      </c>
    </row>
    <row r="12" spans="1:6" x14ac:dyDescent="0.25">
      <c r="A12" t="s">
        <v>116</v>
      </c>
      <c r="B12">
        <v>1</v>
      </c>
      <c r="C12">
        <v>2</v>
      </c>
      <c r="D12">
        <v>2</v>
      </c>
    </row>
    <row r="13" spans="1:6" x14ac:dyDescent="0.25">
      <c r="A13" t="s">
        <v>110</v>
      </c>
      <c r="B13">
        <v>4</v>
      </c>
      <c r="C13">
        <v>3</v>
      </c>
      <c r="D13">
        <v>12</v>
      </c>
    </row>
    <row r="14" spans="1:6" x14ac:dyDescent="0.25">
      <c r="A14" t="s">
        <v>111</v>
      </c>
      <c r="B14">
        <v>1</v>
      </c>
      <c r="C14">
        <v>1</v>
      </c>
      <c r="D14">
        <v>1</v>
      </c>
    </row>
    <row r="15" spans="1:6" x14ac:dyDescent="0.25">
      <c r="A15" t="s">
        <v>113</v>
      </c>
      <c r="B15">
        <v>3</v>
      </c>
      <c r="C15">
        <v>3.6666666666666665</v>
      </c>
      <c r="D15">
        <v>11</v>
      </c>
    </row>
    <row r="16" spans="1:6" x14ac:dyDescent="0.25">
      <c r="A16" t="s">
        <v>93</v>
      </c>
      <c r="B16">
        <v>6</v>
      </c>
      <c r="C16">
        <v>8</v>
      </c>
      <c r="D16">
        <v>48</v>
      </c>
    </row>
    <row r="17" spans="1:4" x14ac:dyDescent="0.25">
      <c r="A17" t="s">
        <v>115</v>
      </c>
      <c r="B17">
        <v>2</v>
      </c>
      <c r="C17">
        <v>5.5</v>
      </c>
      <c r="D17">
        <v>11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sqref="A1:XFD1"/>
    </sheetView>
  </sheetViews>
  <sheetFormatPr defaultRowHeight="15" x14ac:dyDescent="0.25"/>
  <cols>
    <col min="1" max="1" width="16.855468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1</v>
      </c>
      <c r="C2">
        <v>2</v>
      </c>
      <c r="D2">
        <v>2</v>
      </c>
    </row>
    <row r="3" spans="1:6" x14ac:dyDescent="0.25">
      <c r="A3" t="s">
        <v>67</v>
      </c>
      <c r="B3">
        <v>2</v>
      </c>
      <c r="C3">
        <v>6.5</v>
      </c>
      <c r="D3">
        <v>13</v>
      </c>
    </row>
    <row r="4" spans="1:6" x14ac:dyDescent="0.25">
      <c r="A4" t="s">
        <v>66</v>
      </c>
      <c r="B4">
        <v>4</v>
      </c>
      <c r="C4">
        <v>6</v>
      </c>
      <c r="D4">
        <v>24</v>
      </c>
    </row>
    <row r="5" spans="1:6" x14ac:dyDescent="0.25">
      <c r="A5" t="s">
        <v>39</v>
      </c>
      <c r="B5">
        <v>2</v>
      </c>
      <c r="C5">
        <v>4</v>
      </c>
      <c r="D5">
        <v>8</v>
      </c>
    </row>
    <row r="6" spans="1:6" x14ac:dyDescent="0.25">
      <c r="A6" t="s">
        <v>80</v>
      </c>
      <c r="B6">
        <v>2</v>
      </c>
      <c r="C6">
        <v>6.5</v>
      </c>
      <c r="D6">
        <v>13</v>
      </c>
    </row>
    <row r="7" spans="1:6" x14ac:dyDescent="0.25">
      <c r="A7" t="s">
        <v>108</v>
      </c>
      <c r="B7">
        <v>5</v>
      </c>
      <c r="C7">
        <v>4</v>
      </c>
      <c r="D7">
        <v>20</v>
      </c>
    </row>
    <row r="8" spans="1:6" x14ac:dyDescent="0.25">
      <c r="A8" t="s">
        <v>109</v>
      </c>
      <c r="B8">
        <v>3</v>
      </c>
      <c r="C8">
        <v>6</v>
      </c>
      <c r="D8">
        <v>18</v>
      </c>
    </row>
    <row r="9" spans="1:6" x14ac:dyDescent="0.25">
      <c r="A9" t="s">
        <v>110</v>
      </c>
      <c r="B9">
        <v>3</v>
      </c>
      <c r="C9">
        <v>6</v>
      </c>
      <c r="D9">
        <v>18</v>
      </c>
    </row>
    <row r="10" spans="1:6" x14ac:dyDescent="0.25">
      <c r="A10" t="s">
        <v>92</v>
      </c>
      <c r="B10">
        <v>2</v>
      </c>
      <c r="C10">
        <v>6.5</v>
      </c>
      <c r="D10">
        <v>13</v>
      </c>
    </row>
    <row r="11" spans="1:6" x14ac:dyDescent="0.25">
      <c r="A11" t="s">
        <v>111</v>
      </c>
      <c r="B11">
        <v>1</v>
      </c>
      <c r="C11">
        <v>3</v>
      </c>
      <c r="D11">
        <v>3</v>
      </c>
    </row>
    <row r="12" spans="1:6" x14ac:dyDescent="0.25">
      <c r="A12" t="s">
        <v>113</v>
      </c>
      <c r="B12">
        <v>2</v>
      </c>
      <c r="C12">
        <v>6.5</v>
      </c>
      <c r="D12">
        <v>13</v>
      </c>
    </row>
    <row r="13" spans="1:6" x14ac:dyDescent="0.25">
      <c r="A13" t="s">
        <v>118</v>
      </c>
      <c r="B13">
        <v>2</v>
      </c>
      <c r="C13">
        <v>5</v>
      </c>
      <c r="D13">
        <v>10</v>
      </c>
    </row>
    <row r="14" spans="1:6" x14ac:dyDescent="0.25">
      <c r="A14" t="s">
        <v>93</v>
      </c>
      <c r="B14">
        <v>1</v>
      </c>
      <c r="C14">
        <v>8</v>
      </c>
      <c r="D14">
        <v>8</v>
      </c>
    </row>
    <row r="15" spans="1:6" x14ac:dyDescent="0.25">
      <c r="A15" t="s">
        <v>90</v>
      </c>
      <c r="B15">
        <v>1</v>
      </c>
      <c r="C15">
        <v>8</v>
      </c>
      <c r="D15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sqref="A1:XFD1"/>
    </sheetView>
  </sheetViews>
  <sheetFormatPr defaultRowHeight="15" x14ac:dyDescent="0.25"/>
  <cols>
    <col min="1" max="1" width="18.71093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1</v>
      </c>
      <c r="C2">
        <v>3</v>
      </c>
      <c r="D2">
        <v>3</v>
      </c>
    </row>
    <row r="3" spans="1:6" x14ac:dyDescent="0.25">
      <c r="A3" t="s">
        <v>106</v>
      </c>
      <c r="B3">
        <v>1</v>
      </c>
      <c r="C3">
        <v>3</v>
      </c>
      <c r="D3">
        <v>3</v>
      </c>
    </row>
    <row r="4" spans="1:6" x14ac:dyDescent="0.25">
      <c r="A4" t="s">
        <v>101</v>
      </c>
      <c r="B4">
        <v>1</v>
      </c>
      <c r="C4">
        <v>3</v>
      </c>
      <c r="D4">
        <v>3</v>
      </c>
    </row>
    <row r="5" spans="1:6" x14ac:dyDescent="0.25">
      <c r="A5" t="s">
        <v>39</v>
      </c>
      <c r="B5">
        <v>3</v>
      </c>
      <c r="C5">
        <v>7</v>
      </c>
      <c r="D5">
        <v>21</v>
      </c>
    </row>
    <row r="6" spans="1:6" x14ac:dyDescent="0.25">
      <c r="A6" t="s">
        <v>119</v>
      </c>
      <c r="B6">
        <v>1</v>
      </c>
      <c r="C6">
        <v>8</v>
      </c>
      <c r="D6">
        <v>8</v>
      </c>
    </row>
    <row r="7" spans="1:6" x14ac:dyDescent="0.25">
      <c r="A7" t="s">
        <v>105</v>
      </c>
      <c r="B7">
        <v>1</v>
      </c>
      <c r="C7">
        <v>5</v>
      </c>
      <c r="D7">
        <v>5</v>
      </c>
    </row>
    <row r="8" spans="1:6" x14ac:dyDescent="0.25">
      <c r="A8" t="s">
        <v>92</v>
      </c>
      <c r="B8">
        <v>1</v>
      </c>
      <c r="C8">
        <v>3</v>
      </c>
      <c r="D8">
        <v>3</v>
      </c>
    </row>
    <row r="9" spans="1:6" x14ac:dyDescent="0.25">
      <c r="A9" t="s">
        <v>111</v>
      </c>
      <c r="B9">
        <v>1</v>
      </c>
      <c r="C9">
        <v>3</v>
      </c>
      <c r="D9">
        <v>3</v>
      </c>
    </row>
    <row r="10" spans="1:6" x14ac:dyDescent="0.25">
      <c r="A10" t="s">
        <v>112</v>
      </c>
      <c r="B10">
        <v>1</v>
      </c>
      <c r="C10">
        <v>5</v>
      </c>
      <c r="D10">
        <v>5</v>
      </c>
    </row>
    <row r="11" spans="1:6" x14ac:dyDescent="0.25">
      <c r="A11" t="s">
        <v>120</v>
      </c>
      <c r="B11">
        <v>1</v>
      </c>
      <c r="C11">
        <v>5</v>
      </c>
      <c r="D11">
        <v>5</v>
      </c>
    </row>
    <row r="12" spans="1:6" x14ac:dyDescent="0.25">
      <c r="A12" t="s">
        <v>118</v>
      </c>
      <c r="B12">
        <v>1</v>
      </c>
      <c r="C12">
        <v>3</v>
      </c>
      <c r="D12">
        <v>3</v>
      </c>
    </row>
    <row r="13" spans="1:6" x14ac:dyDescent="0.25">
      <c r="A13" t="s">
        <v>90</v>
      </c>
      <c r="B13">
        <v>2</v>
      </c>
      <c r="C13">
        <v>5</v>
      </c>
      <c r="D13">
        <v>10</v>
      </c>
    </row>
    <row r="14" spans="1:6" x14ac:dyDescent="0.25">
      <c r="A14" t="s">
        <v>91</v>
      </c>
      <c r="B14">
        <v>2</v>
      </c>
      <c r="C14">
        <v>3.5</v>
      </c>
      <c r="D14">
        <v>7</v>
      </c>
    </row>
    <row r="15" spans="1:6" x14ac:dyDescent="0.25">
      <c r="A15" t="s">
        <v>115</v>
      </c>
      <c r="B15">
        <v>1</v>
      </c>
      <c r="C15">
        <v>3</v>
      </c>
      <c r="D15">
        <v>3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sqref="A1:XFD1"/>
    </sheetView>
  </sheetViews>
  <sheetFormatPr defaultRowHeight="15" x14ac:dyDescent="0.25"/>
  <cols>
    <col min="1" max="1" width="16.855468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121</v>
      </c>
      <c r="B2">
        <v>1</v>
      </c>
      <c r="C2">
        <v>2</v>
      </c>
      <c r="D2">
        <v>2</v>
      </c>
    </row>
    <row r="3" spans="1:6" x14ac:dyDescent="0.25">
      <c r="A3" t="s">
        <v>39</v>
      </c>
      <c r="B3">
        <v>1</v>
      </c>
      <c r="C3">
        <v>5</v>
      </c>
      <c r="D3">
        <v>5</v>
      </c>
    </row>
    <row r="4" spans="1:6" x14ac:dyDescent="0.25">
      <c r="A4" t="s">
        <v>119</v>
      </c>
      <c r="B4">
        <v>1</v>
      </c>
      <c r="C4">
        <v>2</v>
      </c>
      <c r="D4">
        <v>2</v>
      </c>
    </row>
    <row r="5" spans="1:6" x14ac:dyDescent="0.25">
      <c r="A5" t="s">
        <v>13</v>
      </c>
      <c r="B5">
        <v>1</v>
      </c>
      <c r="C5">
        <v>2</v>
      </c>
      <c r="D5">
        <v>2</v>
      </c>
    </row>
    <row r="6" spans="1:6" x14ac:dyDescent="0.25">
      <c r="A6" t="s">
        <v>92</v>
      </c>
      <c r="B6">
        <v>4</v>
      </c>
      <c r="C6">
        <v>4</v>
      </c>
      <c r="D6">
        <v>16</v>
      </c>
    </row>
    <row r="7" spans="1:6" x14ac:dyDescent="0.25">
      <c r="A7" t="s">
        <v>111</v>
      </c>
      <c r="B7">
        <v>1</v>
      </c>
      <c r="C7">
        <v>8</v>
      </c>
      <c r="D7">
        <v>8</v>
      </c>
    </row>
    <row r="8" spans="1:6" x14ac:dyDescent="0.25">
      <c r="A8" t="s">
        <v>122</v>
      </c>
      <c r="B8">
        <v>1</v>
      </c>
      <c r="C8">
        <v>3</v>
      </c>
      <c r="D8">
        <v>3</v>
      </c>
    </row>
    <row r="9" spans="1:6" x14ac:dyDescent="0.25">
      <c r="A9" t="s">
        <v>120</v>
      </c>
      <c r="B9">
        <v>1</v>
      </c>
      <c r="C9">
        <v>2</v>
      </c>
      <c r="D9">
        <v>2</v>
      </c>
    </row>
    <row r="10" spans="1:6" x14ac:dyDescent="0.25">
      <c r="A10" t="s">
        <v>118</v>
      </c>
      <c r="B10">
        <v>1</v>
      </c>
      <c r="C10">
        <v>3</v>
      </c>
      <c r="D10">
        <v>3</v>
      </c>
    </row>
    <row r="11" spans="1:6" x14ac:dyDescent="0.25">
      <c r="A11" t="s">
        <v>91</v>
      </c>
      <c r="B11">
        <v>1</v>
      </c>
      <c r="C11">
        <v>2</v>
      </c>
      <c r="D11">
        <v>2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workbookViewId="0">
      <selection activeCell="F1" sqref="F1"/>
    </sheetView>
  </sheetViews>
  <sheetFormatPr defaultRowHeight="15" x14ac:dyDescent="0.25"/>
  <cols>
    <col min="1" max="1" width="15.71093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2</v>
      </c>
      <c r="C2">
        <v>1.5</v>
      </c>
      <c r="D2">
        <v>3</v>
      </c>
    </row>
    <row r="3" spans="1:6" x14ac:dyDescent="0.25">
      <c r="A3" t="s">
        <v>39</v>
      </c>
      <c r="B3">
        <v>1</v>
      </c>
      <c r="C3">
        <v>5</v>
      </c>
      <c r="D3">
        <v>5</v>
      </c>
    </row>
    <row r="4" spans="1:6" x14ac:dyDescent="0.25">
      <c r="A4" t="s">
        <v>13</v>
      </c>
      <c r="B4">
        <v>5</v>
      </c>
      <c r="C4">
        <v>1.8</v>
      </c>
      <c r="D4">
        <v>9</v>
      </c>
    </row>
    <row r="5" spans="1:6" x14ac:dyDescent="0.25">
      <c r="A5" t="s">
        <v>92</v>
      </c>
      <c r="B5">
        <v>2</v>
      </c>
      <c r="C5">
        <v>5.5</v>
      </c>
      <c r="D5">
        <v>11</v>
      </c>
    </row>
    <row r="6" spans="1:6" x14ac:dyDescent="0.25">
      <c r="A6" t="s">
        <v>123</v>
      </c>
      <c r="B6">
        <v>1</v>
      </c>
      <c r="C6">
        <v>2</v>
      </c>
      <c r="D6">
        <v>2</v>
      </c>
    </row>
    <row r="7" spans="1:6" x14ac:dyDescent="0.25">
      <c r="A7" t="s">
        <v>111</v>
      </c>
      <c r="B7">
        <v>4</v>
      </c>
      <c r="C7">
        <v>2.75</v>
      </c>
      <c r="D7">
        <v>11</v>
      </c>
    </row>
    <row r="8" spans="1:6" x14ac:dyDescent="0.25">
      <c r="A8" t="s">
        <v>122</v>
      </c>
      <c r="B8">
        <v>3</v>
      </c>
      <c r="C8">
        <v>4</v>
      </c>
      <c r="D8">
        <v>12</v>
      </c>
    </row>
    <row r="9" spans="1:6" x14ac:dyDescent="0.25">
      <c r="A9" t="s">
        <v>91</v>
      </c>
      <c r="B9">
        <v>3</v>
      </c>
      <c r="C9">
        <v>3.6666666666666665</v>
      </c>
      <c r="D9">
        <v>11</v>
      </c>
    </row>
    <row r="10" spans="1:6" x14ac:dyDescent="0.25">
      <c r="A10" t="s">
        <v>124</v>
      </c>
      <c r="B10">
        <v>2</v>
      </c>
      <c r="C10">
        <v>4.5</v>
      </c>
      <c r="D10">
        <v>9</v>
      </c>
    </row>
    <row r="11" spans="1:6" x14ac:dyDescent="0.25">
      <c r="A11" t="s">
        <v>128</v>
      </c>
      <c r="B11">
        <v>1</v>
      </c>
      <c r="C11">
        <v>2</v>
      </c>
      <c r="D11">
        <v>2</v>
      </c>
    </row>
    <row r="12" spans="1:6" x14ac:dyDescent="0.25">
      <c r="A12" t="s">
        <v>129</v>
      </c>
      <c r="B12">
        <v>1</v>
      </c>
      <c r="C12">
        <v>2</v>
      </c>
      <c r="D12">
        <v>2</v>
      </c>
    </row>
    <row r="13" spans="1:6" x14ac:dyDescent="0.25">
      <c r="A13" t="s">
        <v>92</v>
      </c>
      <c r="B13">
        <v>3</v>
      </c>
      <c r="C13">
        <v>8</v>
      </c>
      <c r="D13">
        <v>24</v>
      </c>
    </row>
    <row r="14" spans="1:6" x14ac:dyDescent="0.25">
      <c r="A14" t="s">
        <v>123</v>
      </c>
      <c r="B14">
        <v>2</v>
      </c>
      <c r="C14">
        <v>2.5</v>
      </c>
      <c r="D14">
        <v>5</v>
      </c>
    </row>
    <row r="15" spans="1:6" x14ac:dyDescent="0.25">
      <c r="A15" t="s">
        <v>111</v>
      </c>
      <c r="B15">
        <v>3</v>
      </c>
      <c r="C15">
        <v>2.6666666666666665</v>
      </c>
      <c r="D15">
        <v>8</v>
      </c>
    </row>
    <row r="16" spans="1:6" x14ac:dyDescent="0.25">
      <c r="A16" t="s">
        <v>122</v>
      </c>
      <c r="B16">
        <v>4</v>
      </c>
      <c r="C16">
        <v>3.5</v>
      </c>
      <c r="D16">
        <v>14</v>
      </c>
    </row>
    <row r="17" spans="1:4" x14ac:dyDescent="0.25">
      <c r="A17" t="s">
        <v>130</v>
      </c>
      <c r="B17">
        <v>1</v>
      </c>
      <c r="C17">
        <v>2</v>
      </c>
      <c r="D17">
        <v>2</v>
      </c>
    </row>
    <row r="18" spans="1:4" x14ac:dyDescent="0.25">
      <c r="A18" t="s">
        <v>131</v>
      </c>
      <c r="B18">
        <v>1</v>
      </c>
      <c r="C18">
        <v>5</v>
      </c>
      <c r="D18">
        <v>5</v>
      </c>
    </row>
    <row r="19" spans="1:4" x14ac:dyDescent="0.25">
      <c r="A19" t="s">
        <v>90</v>
      </c>
      <c r="B19">
        <v>1</v>
      </c>
      <c r="C19">
        <v>2</v>
      </c>
      <c r="D19">
        <v>2</v>
      </c>
    </row>
    <row r="20" spans="1:4" x14ac:dyDescent="0.25">
      <c r="A20" t="s">
        <v>91</v>
      </c>
      <c r="B20">
        <v>2</v>
      </c>
      <c r="C20">
        <v>5</v>
      </c>
      <c r="D20">
        <v>10</v>
      </c>
    </row>
    <row r="21" spans="1:4" x14ac:dyDescent="0.25">
      <c r="A21" t="s">
        <v>115</v>
      </c>
      <c r="B21">
        <v>2</v>
      </c>
      <c r="C21">
        <v>2</v>
      </c>
      <c r="D21">
        <v>4</v>
      </c>
    </row>
    <row r="22" spans="1:4" x14ac:dyDescent="0.25">
      <c r="A22" t="s">
        <v>124</v>
      </c>
      <c r="B22">
        <v>1</v>
      </c>
      <c r="C22">
        <v>8</v>
      </c>
      <c r="D22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workbookViewId="0">
      <selection sqref="A1:XFD1"/>
    </sheetView>
  </sheetViews>
  <sheetFormatPr defaultRowHeight="15" x14ac:dyDescent="0.25"/>
  <cols>
    <col min="1" max="1" width="16.42578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3</v>
      </c>
      <c r="C2">
        <v>2</v>
      </c>
      <c r="D2">
        <v>6</v>
      </c>
    </row>
    <row r="3" spans="1:6" x14ac:dyDescent="0.25">
      <c r="A3" t="s">
        <v>106</v>
      </c>
      <c r="B3">
        <v>1</v>
      </c>
      <c r="C3">
        <v>3</v>
      </c>
      <c r="D3">
        <v>3</v>
      </c>
    </row>
    <row r="4" spans="1:6" x14ac:dyDescent="0.25">
      <c r="A4" t="s">
        <v>125</v>
      </c>
      <c r="B4">
        <v>3</v>
      </c>
      <c r="C4">
        <v>3.3333333333333335</v>
      </c>
      <c r="D4">
        <v>10</v>
      </c>
    </row>
    <row r="5" spans="1:6" x14ac:dyDescent="0.25">
      <c r="A5" t="s">
        <v>39</v>
      </c>
      <c r="B5">
        <v>2</v>
      </c>
      <c r="C5">
        <v>3</v>
      </c>
      <c r="D5">
        <v>6</v>
      </c>
    </row>
    <row r="6" spans="1:6" x14ac:dyDescent="0.25">
      <c r="A6" t="s">
        <v>114</v>
      </c>
      <c r="B6">
        <v>1</v>
      </c>
      <c r="C6">
        <v>3</v>
      </c>
      <c r="D6">
        <v>3</v>
      </c>
    </row>
    <row r="7" spans="1:6" x14ac:dyDescent="0.25">
      <c r="A7" t="s">
        <v>119</v>
      </c>
      <c r="B7">
        <v>1</v>
      </c>
      <c r="C7">
        <v>2</v>
      </c>
      <c r="D7">
        <v>2</v>
      </c>
    </row>
    <row r="8" spans="1:6" x14ac:dyDescent="0.25">
      <c r="A8" t="s">
        <v>13</v>
      </c>
      <c r="B8">
        <v>6</v>
      </c>
      <c r="C8">
        <v>2</v>
      </c>
      <c r="D8">
        <v>12</v>
      </c>
    </row>
    <row r="9" spans="1:6" x14ac:dyDescent="0.25">
      <c r="A9" t="s">
        <v>126</v>
      </c>
      <c r="B9">
        <v>1</v>
      </c>
      <c r="C9">
        <v>3</v>
      </c>
      <c r="D9">
        <v>3</v>
      </c>
    </row>
    <row r="10" spans="1:6" x14ac:dyDescent="0.25">
      <c r="A10" t="s">
        <v>127</v>
      </c>
      <c r="B10">
        <v>1</v>
      </c>
      <c r="C10">
        <v>2</v>
      </c>
      <c r="D10">
        <v>2</v>
      </c>
    </row>
    <row r="11" spans="1:6" x14ac:dyDescent="0.25">
      <c r="A11" t="s">
        <v>128</v>
      </c>
      <c r="B11">
        <v>1</v>
      </c>
      <c r="C11">
        <v>2</v>
      </c>
      <c r="D11">
        <v>2</v>
      </c>
    </row>
    <row r="12" spans="1:6" x14ac:dyDescent="0.25">
      <c r="A12" t="s">
        <v>129</v>
      </c>
      <c r="B12">
        <v>1</v>
      </c>
      <c r="C12">
        <v>2</v>
      </c>
      <c r="D12">
        <v>2</v>
      </c>
    </row>
    <row r="13" spans="1:6" x14ac:dyDescent="0.25">
      <c r="A13" t="s">
        <v>92</v>
      </c>
      <c r="B13">
        <v>3</v>
      </c>
      <c r="C13">
        <v>8</v>
      </c>
      <c r="D13">
        <v>24</v>
      </c>
    </row>
    <row r="14" spans="1:6" x14ac:dyDescent="0.25">
      <c r="A14" t="s">
        <v>123</v>
      </c>
      <c r="B14">
        <v>2</v>
      </c>
      <c r="C14">
        <v>2.5</v>
      </c>
      <c r="D14">
        <v>5</v>
      </c>
    </row>
    <row r="15" spans="1:6" x14ac:dyDescent="0.25">
      <c r="A15" t="s">
        <v>111</v>
      </c>
      <c r="B15">
        <v>3</v>
      </c>
      <c r="C15">
        <v>2.6666666666666665</v>
      </c>
      <c r="D15">
        <v>8</v>
      </c>
    </row>
    <row r="16" spans="1:6" x14ac:dyDescent="0.25">
      <c r="A16" t="s">
        <v>122</v>
      </c>
      <c r="B16">
        <v>4</v>
      </c>
      <c r="C16">
        <v>3.5</v>
      </c>
      <c r="D16">
        <v>14</v>
      </c>
    </row>
    <row r="17" spans="1:4" x14ac:dyDescent="0.25">
      <c r="A17" t="s">
        <v>130</v>
      </c>
      <c r="B17">
        <v>1</v>
      </c>
      <c r="C17">
        <v>2</v>
      </c>
      <c r="D17">
        <v>2</v>
      </c>
    </row>
    <row r="18" spans="1:4" x14ac:dyDescent="0.25">
      <c r="A18" t="s">
        <v>131</v>
      </c>
      <c r="B18">
        <v>1</v>
      </c>
      <c r="C18">
        <v>5</v>
      </c>
      <c r="D18">
        <v>5</v>
      </c>
    </row>
    <row r="19" spans="1:4" x14ac:dyDescent="0.25">
      <c r="A19" t="s">
        <v>90</v>
      </c>
      <c r="B19">
        <v>1</v>
      </c>
      <c r="C19">
        <v>2</v>
      </c>
      <c r="D19">
        <v>2</v>
      </c>
    </row>
    <row r="20" spans="1:4" x14ac:dyDescent="0.25">
      <c r="A20" t="s">
        <v>91</v>
      </c>
      <c r="B20">
        <v>2</v>
      </c>
      <c r="C20">
        <v>5</v>
      </c>
      <c r="D20">
        <v>10</v>
      </c>
    </row>
    <row r="21" spans="1:4" x14ac:dyDescent="0.25">
      <c r="A21" t="s">
        <v>115</v>
      </c>
      <c r="B21">
        <v>2</v>
      </c>
      <c r="C21">
        <v>2</v>
      </c>
      <c r="D21">
        <v>4</v>
      </c>
    </row>
    <row r="22" spans="1:4" x14ac:dyDescent="0.25">
      <c r="A22" t="s">
        <v>124</v>
      </c>
      <c r="B22">
        <v>1</v>
      </c>
      <c r="C22">
        <v>8</v>
      </c>
      <c r="D22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workbookViewId="0">
      <selection sqref="A1:XFD1"/>
    </sheetView>
  </sheetViews>
  <sheetFormatPr defaultRowHeight="15" x14ac:dyDescent="0.25"/>
  <cols>
    <col min="1" max="1" width="16.42578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1</v>
      </c>
      <c r="C2">
        <v>8</v>
      </c>
      <c r="D2">
        <v>8</v>
      </c>
    </row>
    <row r="3" spans="1:6" x14ac:dyDescent="0.25">
      <c r="A3" t="s">
        <v>132</v>
      </c>
      <c r="B3">
        <v>1</v>
      </c>
      <c r="C3">
        <v>2</v>
      </c>
      <c r="D3">
        <v>2</v>
      </c>
    </row>
    <row r="4" spans="1:6" x14ac:dyDescent="0.25">
      <c r="A4" t="s">
        <v>200</v>
      </c>
      <c r="B4">
        <v>1</v>
      </c>
      <c r="C4">
        <v>2</v>
      </c>
      <c r="D4">
        <v>2</v>
      </c>
    </row>
    <row r="5" spans="1:6" x14ac:dyDescent="0.25">
      <c r="A5" t="s">
        <v>125</v>
      </c>
      <c r="B5">
        <v>2</v>
      </c>
      <c r="C5">
        <v>2.5</v>
      </c>
      <c r="D5">
        <v>5</v>
      </c>
    </row>
    <row r="6" spans="1:6" x14ac:dyDescent="0.25">
      <c r="A6" t="s">
        <v>39</v>
      </c>
      <c r="B6">
        <v>1</v>
      </c>
      <c r="C6">
        <v>5</v>
      </c>
      <c r="D6">
        <v>5</v>
      </c>
    </row>
    <row r="7" spans="1:6" x14ac:dyDescent="0.25">
      <c r="A7" t="s">
        <v>114</v>
      </c>
      <c r="B7">
        <v>1</v>
      </c>
      <c r="C7">
        <v>3</v>
      </c>
      <c r="D7">
        <v>3</v>
      </c>
    </row>
    <row r="8" spans="1:6" x14ac:dyDescent="0.25">
      <c r="A8" t="s">
        <v>201</v>
      </c>
      <c r="B8">
        <v>1</v>
      </c>
      <c r="C8">
        <v>2</v>
      </c>
      <c r="D8">
        <v>2</v>
      </c>
    </row>
    <row r="9" spans="1:6" x14ac:dyDescent="0.25">
      <c r="A9" t="s">
        <v>13</v>
      </c>
      <c r="B9">
        <v>4</v>
      </c>
      <c r="C9">
        <v>3.25</v>
      </c>
      <c r="D9">
        <v>13</v>
      </c>
    </row>
    <row r="10" spans="1:6" x14ac:dyDescent="0.25">
      <c r="A10" t="s">
        <v>126</v>
      </c>
      <c r="B10">
        <v>2</v>
      </c>
      <c r="C10">
        <v>2.5</v>
      </c>
      <c r="D10">
        <v>5</v>
      </c>
    </row>
    <row r="11" spans="1:6" x14ac:dyDescent="0.25">
      <c r="A11" t="s">
        <v>133</v>
      </c>
      <c r="B11">
        <v>2</v>
      </c>
      <c r="C11">
        <v>2.5</v>
      </c>
      <c r="D11">
        <v>5</v>
      </c>
    </row>
    <row r="12" spans="1:6" x14ac:dyDescent="0.25">
      <c r="A12" t="s">
        <v>127</v>
      </c>
      <c r="B12">
        <v>1</v>
      </c>
      <c r="C12">
        <v>5</v>
      </c>
      <c r="D12">
        <v>5</v>
      </c>
    </row>
    <row r="13" spans="1:6" x14ac:dyDescent="0.25">
      <c r="A13" t="s">
        <v>134</v>
      </c>
      <c r="B13">
        <v>2</v>
      </c>
      <c r="C13">
        <v>2.5</v>
      </c>
      <c r="D13">
        <v>5</v>
      </c>
    </row>
    <row r="14" spans="1:6" x14ac:dyDescent="0.25">
      <c r="A14" t="s">
        <v>92</v>
      </c>
      <c r="B14">
        <v>1</v>
      </c>
      <c r="C14">
        <v>3</v>
      </c>
      <c r="D14">
        <v>3</v>
      </c>
    </row>
    <row r="15" spans="1:6" x14ac:dyDescent="0.25">
      <c r="A15" t="s">
        <v>123</v>
      </c>
      <c r="B15">
        <v>1</v>
      </c>
      <c r="C15">
        <v>3</v>
      </c>
      <c r="D15">
        <v>3</v>
      </c>
    </row>
    <row r="16" spans="1:6" x14ac:dyDescent="0.25">
      <c r="A16" t="s">
        <v>111</v>
      </c>
      <c r="B16">
        <v>1</v>
      </c>
      <c r="C16">
        <v>5</v>
      </c>
      <c r="D16">
        <v>5</v>
      </c>
    </row>
    <row r="17" spans="1:4" x14ac:dyDescent="0.25">
      <c r="A17" t="s">
        <v>122</v>
      </c>
      <c r="B17">
        <v>3</v>
      </c>
      <c r="C17">
        <v>2</v>
      </c>
      <c r="D17">
        <v>6</v>
      </c>
    </row>
    <row r="18" spans="1:4" x14ac:dyDescent="0.25">
      <c r="A18" t="s">
        <v>130</v>
      </c>
      <c r="B18">
        <v>1</v>
      </c>
      <c r="C18">
        <v>2</v>
      </c>
      <c r="D18">
        <v>2</v>
      </c>
    </row>
    <row r="19" spans="1:4" x14ac:dyDescent="0.25">
      <c r="A19" t="s">
        <v>135</v>
      </c>
      <c r="B19">
        <v>3</v>
      </c>
      <c r="C19">
        <v>2</v>
      </c>
      <c r="D19">
        <v>6</v>
      </c>
    </row>
    <row r="20" spans="1:4" x14ac:dyDescent="0.25">
      <c r="A20" t="s">
        <v>131</v>
      </c>
      <c r="B20">
        <v>1</v>
      </c>
      <c r="C20">
        <v>2</v>
      </c>
      <c r="D20">
        <v>2</v>
      </c>
    </row>
    <row r="21" spans="1:4" x14ac:dyDescent="0.25">
      <c r="A21" t="s">
        <v>91</v>
      </c>
      <c r="B21">
        <v>2</v>
      </c>
      <c r="C21">
        <v>5.5</v>
      </c>
      <c r="D21">
        <v>11</v>
      </c>
    </row>
    <row r="22" spans="1:4" x14ac:dyDescent="0.25">
      <c r="A22" t="s">
        <v>115</v>
      </c>
      <c r="B22">
        <v>3</v>
      </c>
      <c r="C22">
        <v>4.666666666666667</v>
      </c>
      <c r="D22">
        <v>14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sqref="A1:XFD1"/>
    </sheetView>
  </sheetViews>
  <sheetFormatPr defaultRowHeight="15" x14ac:dyDescent="0.25"/>
  <cols>
    <col min="1" max="1" width="16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121</v>
      </c>
      <c r="B2">
        <v>1</v>
      </c>
      <c r="C2">
        <v>3</v>
      </c>
      <c r="D2">
        <v>3</v>
      </c>
    </row>
    <row r="3" spans="1:6" x14ac:dyDescent="0.25">
      <c r="A3" t="s">
        <v>136</v>
      </c>
      <c r="B3">
        <v>1</v>
      </c>
      <c r="C3">
        <v>2</v>
      </c>
      <c r="D3">
        <v>2</v>
      </c>
    </row>
    <row r="4" spans="1:6" x14ac:dyDescent="0.25">
      <c r="A4" t="s">
        <v>137</v>
      </c>
      <c r="B4">
        <v>1</v>
      </c>
      <c r="C4">
        <v>2</v>
      </c>
      <c r="D4">
        <v>2</v>
      </c>
    </row>
    <row r="5" spans="1:6" x14ac:dyDescent="0.25">
      <c r="A5" t="s">
        <v>39</v>
      </c>
      <c r="B5">
        <v>1</v>
      </c>
      <c r="C5">
        <v>5</v>
      </c>
      <c r="D5">
        <v>5</v>
      </c>
    </row>
    <row r="6" spans="1:6" x14ac:dyDescent="0.25">
      <c r="A6" t="s">
        <v>13</v>
      </c>
      <c r="B6">
        <v>2</v>
      </c>
      <c r="C6">
        <v>4</v>
      </c>
      <c r="D6">
        <v>8</v>
      </c>
    </row>
    <row r="7" spans="1:6" x14ac:dyDescent="0.25">
      <c r="A7" t="s">
        <v>127</v>
      </c>
      <c r="B7">
        <v>5</v>
      </c>
      <c r="C7">
        <v>2.8</v>
      </c>
      <c r="D7">
        <v>14</v>
      </c>
    </row>
    <row r="8" spans="1:6" x14ac:dyDescent="0.25">
      <c r="A8" t="s">
        <v>138</v>
      </c>
      <c r="B8">
        <v>1</v>
      </c>
      <c r="C8">
        <v>2</v>
      </c>
      <c r="D8">
        <v>2</v>
      </c>
    </row>
    <row r="9" spans="1:6" x14ac:dyDescent="0.25">
      <c r="A9" t="s">
        <v>139</v>
      </c>
      <c r="B9">
        <v>1</v>
      </c>
      <c r="C9">
        <v>2</v>
      </c>
      <c r="D9">
        <v>2</v>
      </c>
    </row>
    <row r="10" spans="1:6" x14ac:dyDescent="0.25">
      <c r="A10" t="s">
        <v>128</v>
      </c>
      <c r="B10">
        <v>1</v>
      </c>
      <c r="C10">
        <v>2</v>
      </c>
      <c r="D10">
        <v>2</v>
      </c>
    </row>
    <row r="11" spans="1:6" x14ac:dyDescent="0.25">
      <c r="A11" t="s">
        <v>116</v>
      </c>
      <c r="B11">
        <v>1</v>
      </c>
      <c r="C11">
        <v>2</v>
      </c>
      <c r="D11">
        <v>2</v>
      </c>
    </row>
    <row r="12" spans="1:6" x14ac:dyDescent="0.25">
      <c r="A12" t="s">
        <v>92</v>
      </c>
      <c r="B12">
        <v>1</v>
      </c>
      <c r="C12">
        <v>8</v>
      </c>
      <c r="D12">
        <v>8</v>
      </c>
    </row>
    <row r="13" spans="1:6" x14ac:dyDescent="0.25">
      <c r="A13" t="s">
        <v>123</v>
      </c>
      <c r="B13">
        <v>1</v>
      </c>
      <c r="C13">
        <v>3</v>
      </c>
      <c r="D13">
        <v>3</v>
      </c>
    </row>
    <row r="14" spans="1:6" x14ac:dyDescent="0.25">
      <c r="A14" t="s">
        <v>111</v>
      </c>
      <c r="B14">
        <v>1</v>
      </c>
      <c r="C14">
        <v>5</v>
      </c>
      <c r="D14">
        <v>5</v>
      </c>
    </row>
    <row r="15" spans="1:6" x14ac:dyDescent="0.25">
      <c r="A15" t="s">
        <v>122</v>
      </c>
      <c r="B15">
        <v>1</v>
      </c>
      <c r="C15">
        <v>5</v>
      </c>
      <c r="D15">
        <v>5</v>
      </c>
    </row>
    <row r="16" spans="1:6" x14ac:dyDescent="0.25">
      <c r="A16" t="s">
        <v>112</v>
      </c>
      <c r="B16">
        <v>1</v>
      </c>
      <c r="C16">
        <v>3</v>
      </c>
      <c r="D16">
        <v>3</v>
      </c>
    </row>
    <row r="17" spans="1:4" x14ac:dyDescent="0.25">
      <c r="A17" t="s">
        <v>140</v>
      </c>
      <c r="B17">
        <v>1</v>
      </c>
      <c r="C17">
        <v>2</v>
      </c>
      <c r="D17">
        <v>2</v>
      </c>
    </row>
    <row r="18" spans="1:4" x14ac:dyDescent="0.25">
      <c r="A18" t="s">
        <v>135</v>
      </c>
      <c r="B18">
        <v>1</v>
      </c>
      <c r="C18">
        <v>3</v>
      </c>
      <c r="D18">
        <v>3</v>
      </c>
    </row>
    <row r="19" spans="1:4" x14ac:dyDescent="0.25">
      <c r="A19" t="s">
        <v>131</v>
      </c>
      <c r="B19">
        <v>1</v>
      </c>
      <c r="C19">
        <v>3</v>
      </c>
      <c r="D19">
        <v>3</v>
      </c>
    </row>
    <row r="20" spans="1:4" x14ac:dyDescent="0.25">
      <c r="A20" t="s">
        <v>90</v>
      </c>
      <c r="B20">
        <v>1</v>
      </c>
      <c r="C20">
        <v>3</v>
      </c>
      <c r="D20">
        <v>3</v>
      </c>
    </row>
    <row r="21" spans="1:4" x14ac:dyDescent="0.25">
      <c r="A21" t="s">
        <v>115</v>
      </c>
      <c r="B21">
        <v>1</v>
      </c>
      <c r="C21">
        <v>2</v>
      </c>
      <c r="D21">
        <v>2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sqref="A1:XFD1"/>
    </sheetView>
  </sheetViews>
  <sheetFormatPr defaultRowHeight="15" x14ac:dyDescent="0.25"/>
  <cols>
    <col min="1" max="1" width="16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1</v>
      </c>
      <c r="C2">
        <v>1</v>
      </c>
      <c r="D2">
        <v>1</v>
      </c>
    </row>
    <row r="3" spans="1:6" x14ac:dyDescent="0.25">
      <c r="A3" t="s">
        <v>136</v>
      </c>
      <c r="B3">
        <v>2</v>
      </c>
      <c r="C3">
        <v>5</v>
      </c>
      <c r="D3">
        <v>10</v>
      </c>
    </row>
    <row r="4" spans="1:6" x14ac:dyDescent="0.25">
      <c r="A4" t="s">
        <v>137</v>
      </c>
      <c r="B4">
        <v>2</v>
      </c>
      <c r="C4">
        <v>3</v>
      </c>
      <c r="D4">
        <v>6</v>
      </c>
    </row>
    <row r="5" spans="1:6" x14ac:dyDescent="0.25">
      <c r="A5" t="s">
        <v>39</v>
      </c>
      <c r="B5">
        <v>1</v>
      </c>
      <c r="C5">
        <v>8</v>
      </c>
      <c r="D5">
        <v>8</v>
      </c>
    </row>
    <row r="6" spans="1:6" x14ac:dyDescent="0.25">
      <c r="A6" t="s">
        <v>114</v>
      </c>
      <c r="B6">
        <v>2</v>
      </c>
      <c r="C6">
        <v>2.5</v>
      </c>
      <c r="D6">
        <v>5</v>
      </c>
    </row>
    <row r="7" spans="1:6" x14ac:dyDescent="0.25">
      <c r="A7" t="s">
        <v>141</v>
      </c>
      <c r="B7">
        <v>1</v>
      </c>
      <c r="C7">
        <v>3</v>
      </c>
      <c r="D7">
        <v>3</v>
      </c>
    </row>
    <row r="8" spans="1:6" x14ac:dyDescent="0.25">
      <c r="A8" t="s">
        <v>13</v>
      </c>
      <c r="B8">
        <v>2</v>
      </c>
      <c r="C8">
        <v>2</v>
      </c>
      <c r="D8">
        <v>4</v>
      </c>
    </row>
    <row r="9" spans="1:6" x14ac:dyDescent="0.25">
      <c r="A9" t="s">
        <v>127</v>
      </c>
      <c r="B9">
        <v>4</v>
      </c>
      <c r="C9">
        <v>3</v>
      </c>
      <c r="D9">
        <v>12</v>
      </c>
    </row>
    <row r="10" spans="1:6" x14ac:dyDescent="0.25">
      <c r="A10" t="s">
        <v>138</v>
      </c>
      <c r="B10">
        <v>4</v>
      </c>
      <c r="C10">
        <v>3.5</v>
      </c>
      <c r="D10">
        <v>14</v>
      </c>
    </row>
    <row r="11" spans="1:6" x14ac:dyDescent="0.25">
      <c r="A11" t="s">
        <v>142</v>
      </c>
      <c r="B11">
        <v>2</v>
      </c>
      <c r="C11">
        <v>2</v>
      </c>
      <c r="D11">
        <v>4</v>
      </c>
    </row>
    <row r="12" spans="1:6" x14ac:dyDescent="0.25">
      <c r="A12" t="s">
        <v>128</v>
      </c>
      <c r="B12">
        <v>1</v>
      </c>
      <c r="C12">
        <v>3</v>
      </c>
      <c r="D12">
        <v>3</v>
      </c>
    </row>
    <row r="13" spans="1:6" x14ac:dyDescent="0.25">
      <c r="A13" t="s">
        <v>134</v>
      </c>
      <c r="B13">
        <v>1</v>
      </c>
      <c r="C13">
        <v>2</v>
      </c>
      <c r="D13">
        <v>2</v>
      </c>
    </row>
    <row r="14" spans="1:6" x14ac:dyDescent="0.25">
      <c r="A14" t="s">
        <v>92</v>
      </c>
      <c r="B14">
        <v>2</v>
      </c>
      <c r="C14">
        <v>8</v>
      </c>
      <c r="D14">
        <v>16</v>
      </c>
    </row>
    <row r="15" spans="1:6" x14ac:dyDescent="0.25">
      <c r="A15" t="s">
        <v>123</v>
      </c>
      <c r="B15">
        <v>1</v>
      </c>
      <c r="C15">
        <v>3</v>
      </c>
      <c r="D15">
        <v>3</v>
      </c>
    </row>
    <row r="16" spans="1:6" x14ac:dyDescent="0.25">
      <c r="A16" t="s">
        <v>111</v>
      </c>
      <c r="B16">
        <v>2</v>
      </c>
      <c r="C16">
        <v>3.5</v>
      </c>
      <c r="D16">
        <v>7</v>
      </c>
    </row>
    <row r="17" spans="1:4" x14ac:dyDescent="0.25">
      <c r="A17" t="s">
        <v>122</v>
      </c>
      <c r="B17">
        <v>3</v>
      </c>
      <c r="C17">
        <v>2.3333333333333335</v>
      </c>
      <c r="D17">
        <v>7</v>
      </c>
    </row>
    <row r="18" spans="1:4" x14ac:dyDescent="0.25">
      <c r="A18" t="s">
        <v>90</v>
      </c>
      <c r="B18">
        <v>1</v>
      </c>
      <c r="C18">
        <v>2</v>
      </c>
      <c r="D18">
        <v>2</v>
      </c>
    </row>
    <row r="19" spans="1:4" x14ac:dyDescent="0.25">
      <c r="A19" t="s">
        <v>91</v>
      </c>
      <c r="B19">
        <v>4</v>
      </c>
      <c r="C19">
        <v>3</v>
      </c>
      <c r="D19">
        <v>12</v>
      </c>
    </row>
    <row r="20" spans="1:4" x14ac:dyDescent="0.25">
      <c r="A20" t="s">
        <v>115</v>
      </c>
      <c r="B20">
        <v>4</v>
      </c>
      <c r="C20">
        <v>3.25</v>
      </c>
      <c r="D20">
        <v>13</v>
      </c>
    </row>
    <row r="21" spans="1:4" x14ac:dyDescent="0.25">
      <c r="A21" t="s">
        <v>131</v>
      </c>
      <c r="B21">
        <v>2</v>
      </c>
      <c r="C21">
        <v>3.5</v>
      </c>
      <c r="D21">
        <v>7</v>
      </c>
    </row>
    <row r="22" spans="1:4" x14ac:dyDescent="0.25">
      <c r="A22" t="s">
        <v>91</v>
      </c>
      <c r="B22">
        <v>8</v>
      </c>
      <c r="C22">
        <v>2.75</v>
      </c>
      <c r="D22">
        <v>22</v>
      </c>
    </row>
    <row r="23" spans="1:4" x14ac:dyDescent="0.25">
      <c r="A23" t="s">
        <v>115</v>
      </c>
      <c r="B23">
        <v>1</v>
      </c>
      <c r="C23">
        <v>5</v>
      </c>
      <c r="D23">
        <v>5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"/>
  <sheetViews>
    <sheetView workbookViewId="0">
      <selection sqref="A1:XFD1"/>
    </sheetView>
  </sheetViews>
  <sheetFormatPr defaultRowHeight="15" x14ac:dyDescent="0.25"/>
  <cols>
    <col min="1" max="1" width="16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136</v>
      </c>
      <c r="B2">
        <v>4</v>
      </c>
      <c r="C2">
        <v>3.5</v>
      </c>
      <c r="D2">
        <v>14</v>
      </c>
    </row>
    <row r="3" spans="1:6" x14ac:dyDescent="0.25">
      <c r="A3" t="s">
        <v>137</v>
      </c>
      <c r="B3">
        <v>4</v>
      </c>
      <c r="C3">
        <v>2.75</v>
      </c>
      <c r="D3">
        <v>11</v>
      </c>
    </row>
    <row r="4" spans="1:6" x14ac:dyDescent="0.25">
      <c r="A4" t="s">
        <v>39</v>
      </c>
      <c r="B4">
        <v>1</v>
      </c>
      <c r="C4">
        <v>8</v>
      </c>
      <c r="D4">
        <v>8</v>
      </c>
    </row>
    <row r="5" spans="1:6" x14ac:dyDescent="0.25">
      <c r="A5" t="s">
        <v>114</v>
      </c>
      <c r="B5">
        <v>2</v>
      </c>
      <c r="C5">
        <v>5</v>
      </c>
      <c r="D5">
        <v>10</v>
      </c>
    </row>
    <row r="6" spans="1:6" x14ac:dyDescent="0.25">
      <c r="A6" t="s">
        <v>119</v>
      </c>
      <c r="B6">
        <v>2</v>
      </c>
      <c r="C6">
        <v>8</v>
      </c>
      <c r="D6">
        <v>16</v>
      </c>
    </row>
    <row r="7" spans="1:6" x14ac:dyDescent="0.25">
      <c r="A7" t="s">
        <v>141</v>
      </c>
      <c r="B7">
        <v>2</v>
      </c>
      <c r="C7">
        <v>8</v>
      </c>
      <c r="D7">
        <v>16</v>
      </c>
    </row>
    <row r="8" spans="1:6" x14ac:dyDescent="0.25">
      <c r="A8" t="s">
        <v>13</v>
      </c>
      <c r="B8">
        <v>2</v>
      </c>
      <c r="C8">
        <v>4</v>
      </c>
      <c r="D8">
        <v>8</v>
      </c>
    </row>
    <row r="9" spans="1:6" x14ac:dyDescent="0.25">
      <c r="A9" t="s">
        <v>133</v>
      </c>
      <c r="B9">
        <v>1</v>
      </c>
      <c r="C9">
        <v>2</v>
      </c>
      <c r="D9">
        <v>2</v>
      </c>
    </row>
    <row r="10" spans="1:6" x14ac:dyDescent="0.25">
      <c r="A10" t="s">
        <v>127</v>
      </c>
      <c r="B10">
        <v>1</v>
      </c>
      <c r="C10">
        <v>3</v>
      </c>
      <c r="D10">
        <v>3</v>
      </c>
    </row>
    <row r="11" spans="1:6" x14ac:dyDescent="0.25">
      <c r="A11" t="s">
        <v>138</v>
      </c>
      <c r="B11">
        <v>5</v>
      </c>
      <c r="C11">
        <v>2.6</v>
      </c>
      <c r="D11">
        <v>13</v>
      </c>
    </row>
    <row r="12" spans="1:6" x14ac:dyDescent="0.25">
      <c r="A12" t="s">
        <v>129</v>
      </c>
      <c r="B12">
        <v>1</v>
      </c>
      <c r="C12">
        <v>2</v>
      </c>
      <c r="D12">
        <v>2</v>
      </c>
    </row>
    <row r="13" spans="1:6" x14ac:dyDescent="0.25">
      <c r="A13" t="s">
        <v>116</v>
      </c>
      <c r="B13">
        <v>2</v>
      </c>
      <c r="C13">
        <v>8</v>
      </c>
      <c r="D13">
        <v>16</v>
      </c>
    </row>
    <row r="14" spans="1:6" x14ac:dyDescent="0.25">
      <c r="A14" t="s">
        <v>143</v>
      </c>
      <c r="B14">
        <v>1</v>
      </c>
      <c r="C14">
        <v>2</v>
      </c>
      <c r="D14">
        <v>2</v>
      </c>
    </row>
    <row r="15" spans="1:6" x14ac:dyDescent="0.25">
      <c r="A15" t="s">
        <v>134</v>
      </c>
      <c r="B15">
        <v>2</v>
      </c>
      <c r="C15">
        <v>2</v>
      </c>
      <c r="D15">
        <v>4</v>
      </c>
    </row>
    <row r="16" spans="1:6" x14ac:dyDescent="0.25">
      <c r="A16" t="s">
        <v>92</v>
      </c>
      <c r="B16">
        <v>2</v>
      </c>
      <c r="C16">
        <v>8</v>
      </c>
      <c r="D16">
        <v>16</v>
      </c>
    </row>
    <row r="17" spans="1:4" x14ac:dyDescent="0.25">
      <c r="A17" t="s">
        <v>123</v>
      </c>
      <c r="B17">
        <v>3</v>
      </c>
      <c r="C17">
        <v>3.3333333333333335</v>
      </c>
      <c r="D17">
        <v>10</v>
      </c>
    </row>
    <row r="18" spans="1:4" x14ac:dyDescent="0.25">
      <c r="A18" t="s">
        <v>122</v>
      </c>
      <c r="B18">
        <v>1</v>
      </c>
      <c r="C18">
        <v>3</v>
      </c>
      <c r="D18">
        <v>3</v>
      </c>
    </row>
    <row r="19" spans="1:4" x14ac:dyDescent="0.25">
      <c r="A19" t="s">
        <v>112</v>
      </c>
      <c r="B19">
        <v>3</v>
      </c>
      <c r="C19">
        <v>4.333333333333333</v>
      </c>
      <c r="D19">
        <v>13</v>
      </c>
    </row>
    <row r="20" spans="1:4" x14ac:dyDescent="0.25">
      <c r="A20" t="s">
        <v>140</v>
      </c>
      <c r="B20">
        <v>2</v>
      </c>
      <c r="C20">
        <v>3.5</v>
      </c>
      <c r="D20">
        <v>7</v>
      </c>
    </row>
    <row r="21" spans="1:4" x14ac:dyDescent="0.25">
      <c r="A21" t="s">
        <v>131</v>
      </c>
      <c r="B21">
        <v>2</v>
      </c>
      <c r="C21">
        <v>3.5</v>
      </c>
      <c r="D21">
        <v>7</v>
      </c>
    </row>
    <row r="22" spans="1:4" x14ac:dyDescent="0.25">
      <c r="A22" t="s">
        <v>91</v>
      </c>
      <c r="B22">
        <v>8</v>
      </c>
      <c r="C22">
        <v>2.75</v>
      </c>
      <c r="D22">
        <v>22</v>
      </c>
    </row>
    <row r="23" spans="1:4" x14ac:dyDescent="0.25">
      <c r="A23" t="s">
        <v>115</v>
      </c>
      <c r="B23">
        <v>1</v>
      </c>
      <c r="C23">
        <v>5</v>
      </c>
      <c r="D23">
        <v>5</v>
      </c>
    </row>
    <row r="24" spans="1:4" x14ac:dyDescent="0.25">
      <c r="A24" t="s">
        <v>147</v>
      </c>
      <c r="B24">
        <v>1</v>
      </c>
      <c r="C24">
        <v>2</v>
      </c>
      <c r="D24">
        <v>2</v>
      </c>
    </row>
    <row r="25" spans="1:4" x14ac:dyDescent="0.25">
      <c r="A25" t="s">
        <v>112</v>
      </c>
      <c r="B25">
        <v>4</v>
      </c>
      <c r="C25">
        <v>2</v>
      </c>
      <c r="D25">
        <v>8</v>
      </c>
    </row>
    <row r="26" spans="1:4" x14ac:dyDescent="0.25">
      <c r="A26" t="s">
        <v>131</v>
      </c>
      <c r="B26">
        <v>1</v>
      </c>
      <c r="C26">
        <v>3</v>
      </c>
      <c r="D26">
        <v>3</v>
      </c>
    </row>
    <row r="27" spans="1:4" x14ac:dyDescent="0.25">
      <c r="A27" t="s">
        <v>91</v>
      </c>
      <c r="B27">
        <v>6</v>
      </c>
      <c r="C27">
        <v>2.6666666666666665</v>
      </c>
      <c r="D27">
        <v>16</v>
      </c>
    </row>
    <row r="28" spans="1:4" x14ac:dyDescent="0.25">
      <c r="A28" t="s">
        <v>115</v>
      </c>
      <c r="B28">
        <v>3</v>
      </c>
      <c r="C28">
        <v>2.6666666666666665</v>
      </c>
      <c r="D28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workbookViewId="0">
      <selection sqref="A1:XFD1"/>
    </sheetView>
  </sheetViews>
  <sheetFormatPr defaultRowHeight="15" x14ac:dyDescent="0.25"/>
  <cols>
    <col min="1" max="1" width="16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1</v>
      </c>
      <c r="C2">
        <v>3</v>
      </c>
      <c r="D2">
        <v>3</v>
      </c>
    </row>
    <row r="3" spans="1:6" x14ac:dyDescent="0.25">
      <c r="A3" t="s">
        <v>202</v>
      </c>
      <c r="B3">
        <v>1</v>
      </c>
      <c r="C3">
        <v>2</v>
      </c>
      <c r="D3">
        <v>2</v>
      </c>
    </row>
    <row r="4" spans="1:6" x14ac:dyDescent="0.25">
      <c r="A4" t="s">
        <v>136</v>
      </c>
      <c r="B4">
        <v>4</v>
      </c>
      <c r="C4">
        <v>2.25</v>
      </c>
      <c r="D4">
        <v>9</v>
      </c>
    </row>
    <row r="5" spans="1:6" x14ac:dyDescent="0.25">
      <c r="A5" t="s">
        <v>137</v>
      </c>
      <c r="B5">
        <v>6</v>
      </c>
      <c r="C5">
        <v>2.5</v>
      </c>
      <c r="D5">
        <v>15</v>
      </c>
    </row>
    <row r="6" spans="1:6" x14ac:dyDescent="0.25">
      <c r="A6" t="s">
        <v>39</v>
      </c>
      <c r="B6">
        <v>1</v>
      </c>
      <c r="C6">
        <v>8</v>
      </c>
      <c r="D6">
        <v>8</v>
      </c>
    </row>
    <row r="7" spans="1:6" x14ac:dyDescent="0.25">
      <c r="A7" t="s">
        <v>114</v>
      </c>
      <c r="B7">
        <v>4</v>
      </c>
      <c r="C7">
        <v>2.75</v>
      </c>
      <c r="D7">
        <v>11</v>
      </c>
    </row>
    <row r="8" spans="1:6" x14ac:dyDescent="0.25">
      <c r="A8" t="s">
        <v>203</v>
      </c>
      <c r="B8">
        <v>1</v>
      </c>
      <c r="C8">
        <v>2</v>
      </c>
      <c r="D8">
        <v>2</v>
      </c>
    </row>
    <row r="9" spans="1:6" x14ac:dyDescent="0.25">
      <c r="A9" t="s">
        <v>144</v>
      </c>
      <c r="B9">
        <v>1</v>
      </c>
      <c r="C9">
        <v>2</v>
      </c>
      <c r="D9">
        <v>2</v>
      </c>
    </row>
    <row r="10" spans="1:6" x14ac:dyDescent="0.25">
      <c r="A10" t="s">
        <v>13</v>
      </c>
      <c r="B10">
        <v>2</v>
      </c>
      <c r="C10">
        <v>8</v>
      </c>
      <c r="D10">
        <v>16</v>
      </c>
    </row>
    <row r="11" spans="1:6" x14ac:dyDescent="0.25">
      <c r="A11" t="s">
        <v>145</v>
      </c>
      <c r="B11">
        <v>1</v>
      </c>
      <c r="C11">
        <v>2</v>
      </c>
      <c r="D11">
        <v>2</v>
      </c>
    </row>
    <row r="12" spans="1:6" x14ac:dyDescent="0.25">
      <c r="A12" t="s">
        <v>127</v>
      </c>
      <c r="B12">
        <v>1</v>
      </c>
      <c r="C12">
        <v>2</v>
      </c>
      <c r="D12">
        <v>2</v>
      </c>
    </row>
    <row r="13" spans="1:6" x14ac:dyDescent="0.25">
      <c r="A13" t="s">
        <v>138</v>
      </c>
      <c r="B13">
        <v>6</v>
      </c>
      <c r="C13">
        <v>2.3333333333333335</v>
      </c>
      <c r="D13">
        <v>14</v>
      </c>
    </row>
    <row r="14" spans="1:6" x14ac:dyDescent="0.25">
      <c r="A14" t="s">
        <v>139</v>
      </c>
      <c r="B14">
        <v>1</v>
      </c>
      <c r="C14">
        <v>1</v>
      </c>
      <c r="D14">
        <v>1</v>
      </c>
    </row>
    <row r="15" spans="1:6" x14ac:dyDescent="0.25">
      <c r="A15" t="s">
        <v>204</v>
      </c>
      <c r="B15">
        <v>1</v>
      </c>
      <c r="C15">
        <v>2</v>
      </c>
      <c r="D15">
        <v>2</v>
      </c>
    </row>
    <row r="16" spans="1:6" x14ac:dyDescent="0.25">
      <c r="A16" t="s">
        <v>142</v>
      </c>
      <c r="B16">
        <v>2</v>
      </c>
      <c r="C16">
        <v>2</v>
      </c>
      <c r="D16">
        <v>4</v>
      </c>
    </row>
    <row r="17" spans="1:4" x14ac:dyDescent="0.25">
      <c r="A17" t="s">
        <v>129</v>
      </c>
      <c r="B17">
        <v>3</v>
      </c>
      <c r="C17">
        <v>6.333333333333333</v>
      </c>
      <c r="D17">
        <v>19</v>
      </c>
    </row>
    <row r="18" spans="1:4" x14ac:dyDescent="0.25">
      <c r="A18" t="s">
        <v>92</v>
      </c>
      <c r="B18">
        <v>5</v>
      </c>
      <c r="C18">
        <v>8</v>
      </c>
      <c r="D18">
        <v>40</v>
      </c>
    </row>
    <row r="19" spans="1:4" x14ac:dyDescent="0.25">
      <c r="A19" t="s">
        <v>123</v>
      </c>
      <c r="B19">
        <v>2</v>
      </c>
      <c r="C19">
        <v>6.5</v>
      </c>
      <c r="D19">
        <v>13</v>
      </c>
    </row>
    <row r="20" spans="1:4" x14ac:dyDescent="0.25">
      <c r="A20" t="s">
        <v>146</v>
      </c>
      <c r="B20">
        <v>1</v>
      </c>
      <c r="C20">
        <v>2</v>
      </c>
      <c r="D20">
        <v>2</v>
      </c>
    </row>
    <row r="21" spans="1:4" x14ac:dyDescent="0.25">
      <c r="A21" t="s">
        <v>111</v>
      </c>
      <c r="B21">
        <v>1</v>
      </c>
      <c r="C21">
        <v>2</v>
      </c>
      <c r="D21">
        <v>2</v>
      </c>
    </row>
    <row r="22" spans="1:4" x14ac:dyDescent="0.25">
      <c r="A22" t="s">
        <v>122</v>
      </c>
      <c r="B22">
        <v>2</v>
      </c>
      <c r="C22">
        <v>4</v>
      </c>
      <c r="D22">
        <v>8</v>
      </c>
    </row>
    <row r="23" spans="1:4" x14ac:dyDescent="0.25">
      <c r="A23" t="s">
        <v>130</v>
      </c>
      <c r="B23">
        <v>1</v>
      </c>
      <c r="C23">
        <v>2</v>
      </c>
      <c r="D23">
        <v>2</v>
      </c>
    </row>
    <row r="24" spans="1:4" x14ac:dyDescent="0.25">
      <c r="A24" t="s">
        <v>147</v>
      </c>
      <c r="B24">
        <v>1</v>
      </c>
      <c r="C24">
        <v>2</v>
      </c>
      <c r="D24">
        <v>2</v>
      </c>
    </row>
    <row r="25" spans="1:4" x14ac:dyDescent="0.25">
      <c r="A25" t="s">
        <v>112</v>
      </c>
      <c r="B25">
        <v>4</v>
      </c>
      <c r="C25">
        <v>2</v>
      </c>
      <c r="D25">
        <v>8</v>
      </c>
    </row>
    <row r="26" spans="1:4" x14ac:dyDescent="0.25">
      <c r="A26" t="s">
        <v>131</v>
      </c>
      <c r="B26">
        <v>1</v>
      </c>
      <c r="C26">
        <v>3</v>
      </c>
      <c r="D26">
        <v>3</v>
      </c>
    </row>
    <row r="27" spans="1:4" x14ac:dyDescent="0.25">
      <c r="A27" t="s">
        <v>91</v>
      </c>
      <c r="B27">
        <v>6</v>
      </c>
      <c r="C27">
        <v>2.6666666666666665</v>
      </c>
      <c r="D27">
        <v>16</v>
      </c>
    </row>
    <row r="28" spans="1:4" x14ac:dyDescent="0.25">
      <c r="A28" t="s">
        <v>115</v>
      </c>
      <c r="B28">
        <v>3</v>
      </c>
      <c r="C28">
        <v>2.6666666666666665</v>
      </c>
      <c r="D28">
        <v>8</v>
      </c>
    </row>
    <row r="29" spans="1:4" x14ac:dyDescent="0.25">
      <c r="A29" t="s">
        <v>115</v>
      </c>
      <c r="B29">
        <v>3</v>
      </c>
      <c r="C29">
        <v>3.3333333333333335</v>
      </c>
      <c r="D29">
        <v>10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workbookViewId="0">
      <selection sqref="A1:XFD1"/>
    </sheetView>
  </sheetViews>
  <sheetFormatPr defaultRowHeight="15" x14ac:dyDescent="0.25"/>
  <cols>
    <col min="1" max="1" width="16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2</v>
      </c>
      <c r="C2">
        <v>2</v>
      </c>
      <c r="D2">
        <v>4</v>
      </c>
    </row>
    <row r="3" spans="1:6" x14ac:dyDescent="0.25">
      <c r="A3" t="s">
        <v>136</v>
      </c>
      <c r="B3">
        <v>17</v>
      </c>
      <c r="C3">
        <v>2.1764705882352939</v>
      </c>
      <c r="D3">
        <v>37</v>
      </c>
    </row>
    <row r="4" spans="1:6" x14ac:dyDescent="0.25">
      <c r="A4" t="s">
        <v>137</v>
      </c>
      <c r="B4">
        <v>13</v>
      </c>
      <c r="C4">
        <v>2.0769230769230771</v>
      </c>
      <c r="D4">
        <v>27.000000000000004</v>
      </c>
    </row>
    <row r="5" spans="1:6" x14ac:dyDescent="0.25">
      <c r="A5" t="s">
        <v>148</v>
      </c>
      <c r="B5">
        <v>2</v>
      </c>
      <c r="C5">
        <v>2</v>
      </c>
      <c r="D5">
        <v>4</v>
      </c>
    </row>
    <row r="6" spans="1:6" x14ac:dyDescent="0.25">
      <c r="A6" t="s">
        <v>39</v>
      </c>
      <c r="B6">
        <v>1</v>
      </c>
      <c r="C6">
        <v>8</v>
      </c>
      <c r="D6">
        <v>8</v>
      </c>
    </row>
    <row r="7" spans="1:6" x14ac:dyDescent="0.25">
      <c r="A7" t="s">
        <v>149</v>
      </c>
      <c r="B7">
        <v>1</v>
      </c>
      <c r="C7">
        <v>2</v>
      </c>
      <c r="D7">
        <v>2</v>
      </c>
    </row>
    <row r="8" spans="1:6" x14ac:dyDescent="0.25">
      <c r="A8" t="s">
        <v>114</v>
      </c>
      <c r="B8">
        <v>4</v>
      </c>
      <c r="C8">
        <v>3.5</v>
      </c>
      <c r="D8">
        <v>14</v>
      </c>
    </row>
    <row r="9" spans="1:6" x14ac:dyDescent="0.25">
      <c r="A9" t="s">
        <v>150</v>
      </c>
      <c r="B9">
        <v>1</v>
      </c>
      <c r="C9">
        <v>2</v>
      </c>
      <c r="D9">
        <v>2</v>
      </c>
    </row>
    <row r="10" spans="1:6" x14ac:dyDescent="0.25">
      <c r="A10" t="s">
        <v>144</v>
      </c>
      <c r="B10">
        <v>1</v>
      </c>
      <c r="C10">
        <v>2</v>
      </c>
      <c r="D10">
        <v>2</v>
      </c>
    </row>
    <row r="11" spans="1:6" x14ac:dyDescent="0.25">
      <c r="A11" t="s">
        <v>13</v>
      </c>
      <c r="B11">
        <v>4</v>
      </c>
      <c r="C11">
        <v>3.5</v>
      </c>
      <c r="D11">
        <v>14</v>
      </c>
    </row>
    <row r="12" spans="1:6" x14ac:dyDescent="0.25">
      <c r="A12" t="s">
        <v>145</v>
      </c>
      <c r="B12">
        <v>1</v>
      </c>
      <c r="C12">
        <v>1</v>
      </c>
      <c r="D12">
        <v>1</v>
      </c>
    </row>
    <row r="13" spans="1:6" x14ac:dyDescent="0.25">
      <c r="A13" t="s">
        <v>151</v>
      </c>
      <c r="B13">
        <v>1</v>
      </c>
      <c r="C13">
        <v>2</v>
      </c>
      <c r="D13">
        <v>2</v>
      </c>
    </row>
    <row r="14" spans="1:6" x14ac:dyDescent="0.25">
      <c r="A14" t="s">
        <v>127</v>
      </c>
      <c r="B14">
        <v>3</v>
      </c>
      <c r="C14">
        <v>2.6666666666666665</v>
      </c>
      <c r="D14">
        <v>8</v>
      </c>
    </row>
    <row r="15" spans="1:6" x14ac:dyDescent="0.25">
      <c r="A15" t="s">
        <v>138</v>
      </c>
      <c r="B15">
        <v>13</v>
      </c>
      <c r="C15">
        <v>2.3076923076923075</v>
      </c>
      <c r="D15">
        <v>29.999999999999996</v>
      </c>
    </row>
    <row r="16" spans="1:6" x14ac:dyDescent="0.25">
      <c r="A16" t="s">
        <v>152</v>
      </c>
      <c r="B16">
        <v>1</v>
      </c>
      <c r="C16">
        <v>2</v>
      </c>
      <c r="D16">
        <v>2</v>
      </c>
    </row>
    <row r="17" spans="1:4" x14ac:dyDescent="0.25">
      <c r="A17" t="s">
        <v>139</v>
      </c>
      <c r="B17">
        <v>1</v>
      </c>
      <c r="C17">
        <v>3</v>
      </c>
      <c r="D17">
        <v>3</v>
      </c>
    </row>
    <row r="18" spans="1:4" x14ac:dyDescent="0.25">
      <c r="A18" t="s">
        <v>142</v>
      </c>
      <c r="B18">
        <v>1</v>
      </c>
      <c r="C18">
        <v>3</v>
      </c>
      <c r="D18">
        <v>3</v>
      </c>
    </row>
    <row r="19" spans="1:4" x14ac:dyDescent="0.25">
      <c r="A19" t="s">
        <v>153</v>
      </c>
      <c r="B19">
        <v>2</v>
      </c>
      <c r="C19">
        <v>1</v>
      </c>
      <c r="D19">
        <v>2</v>
      </c>
    </row>
    <row r="20" spans="1:4" x14ac:dyDescent="0.25">
      <c r="A20" t="s">
        <v>128</v>
      </c>
      <c r="B20">
        <v>1</v>
      </c>
      <c r="C20">
        <v>1</v>
      </c>
      <c r="D20">
        <v>1</v>
      </c>
    </row>
    <row r="21" spans="1:4" x14ac:dyDescent="0.25">
      <c r="A21" t="s">
        <v>143</v>
      </c>
      <c r="B21">
        <v>1</v>
      </c>
      <c r="C21">
        <v>1</v>
      </c>
      <c r="D21">
        <v>1</v>
      </c>
    </row>
    <row r="22" spans="1:4" x14ac:dyDescent="0.25">
      <c r="A22" t="s">
        <v>154</v>
      </c>
      <c r="B22">
        <v>1</v>
      </c>
      <c r="C22">
        <v>2</v>
      </c>
      <c r="D22">
        <v>2</v>
      </c>
    </row>
    <row r="23" spans="1:4" x14ac:dyDescent="0.25">
      <c r="A23" t="s">
        <v>134</v>
      </c>
      <c r="B23">
        <v>1</v>
      </c>
      <c r="C23">
        <v>3</v>
      </c>
      <c r="D23">
        <v>3</v>
      </c>
    </row>
    <row r="24" spans="1:4" x14ac:dyDescent="0.25">
      <c r="A24" t="s">
        <v>146</v>
      </c>
      <c r="B24">
        <v>1</v>
      </c>
      <c r="C24">
        <v>2</v>
      </c>
      <c r="D24">
        <v>2</v>
      </c>
    </row>
    <row r="25" spans="1:4" x14ac:dyDescent="0.25">
      <c r="A25" t="s">
        <v>147</v>
      </c>
      <c r="B25">
        <v>1</v>
      </c>
      <c r="C25">
        <v>2</v>
      </c>
      <c r="D25">
        <v>2</v>
      </c>
    </row>
    <row r="26" spans="1:4" x14ac:dyDescent="0.25">
      <c r="A26" t="s">
        <v>135</v>
      </c>
      <c r="B26">
        <v>1</v>
      </c>
      <c r="C26">
        <v>3</v>
      </c>
      <c r="D26">
        <v>3</v>
      </c>
    </row>
    <row r="27" spans="1:4" x14ac:dyDescent="0.25">
      <c r="A27" t="s">
        <v>91</v>
      </c>
      <c r="B27">
        <v>13</v>
      </c>
      <c r="C27">
        <v>2.6923076923076925</v>
      </c>
      <c r="D27">
        <v>35</v>
      </c>
    </row>
    <row r="28" spans="1:4" x14ac:dyDescent="0.25">
      <c r="A28" t="s">
        <v>155</v>
      </c>
      <c r="B28">
        <v>1</v>
      </c>
      <c r="C28">
        <v>2</v>
      </c>
      <c r="D28">
        <v>2</v>
      </c>
    </row>
    <row r="29" spans="1:4" x14ac:dyDescent="0.25">
      <c r="A29" t="s">
        <v>115</v>
      </c>
      <c r="B29">
        <v>3</v>
      </c>
      <c r="C29">
        <v>3.3333333333333335</v>
      </c>
      <c r="D29">
        <v>10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"/>
  <sheetViews>
    <sheetView workbookViewId="0">
      <selection sqref="A1:XFD1"/>
    </sheetView>
  </sheetViews>
  <sheetFormatPr defaultRowHeight="15" x14ac:dyDescent="0.25"/>
  <cols>
    <col min="1" max="1" width="16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117</v>
      </c>
      <c r="B2">
        <v>2</v>
      </c>
      <c r="C2">
        <v>2</v>
      </c>
      <c r="D2">
        <v>4</v>
      </c>
    </row>
    <row r="3" spans="1:6" x14ac:dyDescent="0.25">
      <c r="A3" t="s">
        <v>136</v>
      </c>
      <c r="B3">
        <v>17</v>
      </c>
      <c r="C3">
        <v>2.1764705882352939</v>
      </c>
      <c r="D3">
        <v>37</v>
      </c>
    </row>
    <row r="4" spans="1:6" x14ac:dyDescent="0.25">
      <c r="A4" t="s">
        <v>137</v>
      </c>
      <c r="B4">
        <v>13</v>
      </c>
      <c r="C4">
        <v>2.0769230769230771</v>
      </c>
      <c r="D4">
        <v>27.000000000000004</v>
      </c>
    </row>
    <row r="5" spans="1:6" x14ac:dyDescent="0.25">
      <c r="A5" t="s">
        <v>148</v>
      </c>
      <c r="B5">
        <v>2</v>
      </c>
      <c r="C5">
        <v>2</v>
      </c>
      <c r="D5">
        <v>4</v>
      </c>
    </row>
    <row r="6" spans="1:6" x14ac:dyDescent="0.25">
      <c r="A6" t="s">
        <v>39</v>
      </c>
      <c r="B6">
        <v>1</v>
      </c>
      <c r="C6">
        <v>8</v>
      </c>
      <c r="D6">
        <v>8</v>
      </c>
    </row>
    <row r="7" spans="1:6" x14ac:dyDescent="0.25">
      <c r="A7" t="s">
        <v>149</v>
      </c>
      <c r="B7">
        <v>1</v>
      </c>
      <c r="C7">
        <v>2</v>
      </c>
      <c r="D7">
        <v>2</v>
      </c>
    </row>
    <row r="8" spans="1:6" x14ac:dyDescent="0.25">
      <c r="A8" t="s">
        <v>114</v>
      </c>
      <c r="B8">
        <v>4</v>
      </c>
      <c r="C8">
        <v>3.5</v>
      </c>
      <c r="D8">
        <v>14</v>
      </c>
    </row>
    <row r="9" spans="1:6" x14ac:dyDescent="0.25">
      <c r="A9" t="s">
        <v>150</v>
      </c>
      <c r="B9">
        <v>1</v>
      </c>
      <c r="C9">
        <v>2</v>
      </c>
      <c r="D9">
        <v>2</v>
      </c>
    </row>
    <row r="10" spans="1:6" x14ac:dyDescent="0.25">
      <c r="A10" t="s">
        <v>144</v>
      </c>
      <c r="B10">
        <v>1</v>
      </c>
      <c r="C10">
        <v>2</v>
      </c>
      <c r="D10">
        <v>2</v>
      </c>
    </row>
    <row r="11" spans="1:6" x14ac:dyDescent="0.25">
      <c r="A11" t="s">
        <v>13</v>
      </c>
      <c r="B11">
        <v>4</v>
      </c>
      <c r="C11">
        <v>3.5</v>
      </c>
      <c r="D11">
        <v>14</v>
      </c>
    </row>
    <row r="12" spans="1:6" x14ac:dyDescent="0.25">
      <c r="A12" t="s">
        <v>145</v>
      </c>
      <c r="B12">
        <v>1</v>
      </c>
      <c r="C12">
        <v>1</v>
      </c>
      <c r="D12">
        <v>1</v>
      </c>
    </row>
    <row r="13" spans="1:6" x14ac:dyDescent="0.25">
      <c r="A13" t="s">
        <v>151</v>
      </c>
      <c r="B13">
        <v>1</v>
      </c>
      <c r="C13">
        <v>2</v>
      </c>
      <c r="D13">
        <v>2</v>
      </c>
    </row>
    <row r="14" spans="1:6" x14ac:dyDescent="0.25">
      <c r="A14" t="s">
        <v>127</v>
      </c>
      <c r="B14">
        <v>3</v>
      </c>
      <c r="C14">
        <v>2.6666666666666665</v>
      </c>
      <c r="D14">
        <v>8</v>
      </c>
    </row>
    <row r="15" spans="1:6" x14ac:dyDescent="0.25">
      <c r="A15" t="s">
        <v>138</v>
      </c>
      <c r="B15">
        <v>13</v>
      </c>
      <c r="C15">
        <v>2.3076923076923075</v>
      </c>
      <c r="D15">
        <v>29.999999999999996</v>
      </c>
    </row>
    <row r="16" spans="1:6" x14ac:dyDescent="0.25">
      <c r="A16" t="s">
        <v>152</v>
      </c>
      <c r="B16">
        <v>1</v>
      </c>
      <c r="C16">
        <v>2</v>
      </c>
      <c r="D16">
        <v>2</v>
      </c>
    </row>
    <row r="17" spans="1:4" x14ac:dyDescent="0.25">
      <c r="A17" t="s">
        <v>139</v>
      </c>
      <c r="B17">
        <v>1</v>
      </c>
      <c r="C17">
        <v>3</v>
      </c>
      <c r="D17">
        <v>3</v>
      </c>
    </row>
    <row r="18" spans="1:4" x14ac:dyDescent="0.25">
      <c r="A18" t="s">
        <v>142</v>
      </c>
      <c r="B18">
        <v>1</v>
      </c>
      <c r="C18">
        <v>3</v>
      </c>
      <c r="D18">
        <v>3</v>
      </c>
    </row>
    <row r="19" spans="1:4" x14ac:dyDescent="0.25">
      <c r="A19" t="s">
        <v>153</v>
      </c>
      <c r="B19">
        <v>2</v>
      </c>
      <c r="C19">
        <v>1</v>
      </c>
      <c r="D19">
        <v>2</v>
      </c>
    </row>
    <row r="20" spans="1:4" x14ac:dyDescent="0.25">
      <c r="A20" t="s">
        <v>128</v>
      </c>
      <c r="B20">
        <v>1</v>
      </c>
      <c r="C20">
        <v>1</v>
      </c>
      <c r="D20">
        <v>1</v>
      </c>
    </row>
    <row r="21" spans="1:4" x14ac:dyDescent="0.25">
      <c r="A21" t="s">
        <v>143</v>
      </c>
      <c r="B21">
        <v>1</v>
      </c>
      <c r="C21">
        <v>1</v>
      </c>
      <c r="D21">
        <v>1</v>
      </c>
    </row>
    <row r="22" spans="1:4" x14ac:dyDescent="0.25">
      <c r="A22" t="s">
        <v>154</v>
      </c>
      <c r="B22">
        <v>1</v>
      </c>
      <c r="C22">
        <v>2</v>
      </c>
      <c r="D22">
        <v>2</v>
      </c>
    </row>
    <row r="23" spans="1:4" x14ac:dyDescent="0.25">
      <c r="A23" t="s">
        <v>134</v>
      </c>
      <c r="B23">
        <v>1</v>
      </c>
      <c r="C23">
        <v>3</v>
      </c>
      <c r="D23">
        <v>3</v>
      </c>
    </row>
    <row r="24" spans="1:4" x14ac:dyDescent="0.25">
      <c r="A24" t="s">
        <v>146</v>
      </c>
      <c r="B24">
        <v>1</v>
      </c>
      <c r="C24">
        <v>2</v>
      </c>
      <c r="D24">
        <v>2</v>
      </c>
    </row>
    <row r="25" spans="1:4" x14ac:dyDescent="0.25">
      <c r="A25" t="s">
        <v>147</v>
      </c>
      <c r="B25">
        <v>1</v>
      </c>
      <c r="C25">
        <v>2</v>
      </c>
      <c r="D25">
        <v>2</v>
      </c>
    </row>
    <row r="26" spans="1:4" x14ac:dyDescent="0.25">
      <c r="A26" t="s">
        <v>135</v>
      </c>
      <c r="B26">
        <v>1</v>
      </c>
      <c r="C26">
        <v>3</v>
      </c>
      <c r="D26">
        <v>3</v>
      </c>
    </row>
    <row r="27" spans="1:4" x14ac:dyDescent="0.25">
      <c r="A27" t="s">
        <v>91</v>
      </c>
      <c r="B27">
        <v>13</v>
      </c>
      <c r="C27">
        <v>2.6923076923076925</v>
      </c>
      <c r="D27">
        <v>35</v>
      </c>
    </row>
    <row r="28" spans="1:4" x14ac:dyDescent="0.25">
      <c r="A28" t="s">
        <v>155</v>
      </c>
      <c r="B28">
        <v>1</v>
      </c>
      <c r="C28">
        <v>2</v>
      </c>
      <c r="D28">
        <v>2</v>
      </c>
    </row>
    <row r="29" spans="1:4" x14ac:dyDescent="0.25">
      <c r="A29" t="s">
        <v>115</v>
      </c>
      <c r="B29">
        <v>3</v>
      </c>
      <c r="C29">
        <v>3.3333333333333335</v>
      </c>
      <c r="D29">
        <v>10</v>
      </c>
    </row>
    <row r="30" spans="1:4" x14ac:dyDescent="0.25">
      <c r="A30" t="s">
        <v>163</v>
      </c>
      <c r="B30">
        <v>1</v>
      </c>
      <c r="C30">
        <v>2</v>
      </c>
      <c r="D30">
        <v>2</v>
      </c>
    </row>
    <row r="31" spans="1:4" x14ac:dyDescent="0.25">
      <c r="A31" t="s">
        <v>91</v>
      </c>
      <c r="B31">
        <v>2</v>
      </c>
      <c r="C31">
        <v>3</v>
      </c>
      <c r="D31">
        <v>6</v>
      </c>
    </row>
    <row r="32" spans="1:4" x14ac:dyDescent="0.25">
      <c r="A32" t="s">
        <v>115</v>
      </c>
      <c r="B32">
        <v>1</v>
      </c>
      <c r="C32">
        <v>5</v>
      </c>
      <c r="D32">
        <v>5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"/>
  <sheetViews>
    <sheetView workbookViewId="0">
      <selection sqref="A1:XFD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132</v>
      </c>
      <c r="B2">
        <v>1</v>
      </c>
      <c r="C2">
        <v>2</v>
      </c>
      <c r="D2">
        <v>2</v>
      </c>
    </row>
    <row r="3" spans="1:6" x14ac:dyDescent="0.25">
      <c r="A3" t="s">
        <v>205</v>
      </c>
      <c r="B3">
        <v>1</v>
      </c>
      <c r="C3">
        <v>2</v>
      </c>
      <c r="D3">
        <v>2</v>
      </c>
    </row>
    <row r="4" spans="1:6" x14ac:dyDescent="0.25">
      <c r="A4" t="s">
        <v>136</v>
      </c>
      <c r="B4">
        <v>2</v>
      </c>
      <c r="C4">
        <v>3</v>
      </c>
      <c r="D4">
        <v>6</v>
      </c>
    </row>
    <row r="5" spans="1:6" x14ac:dyDescent="0.25">
      <c r="A5" t="s">
        <v>137</v>
      </c>
      <c r="B5">
        <v>2</v>
      </c>
      <c r="C5">
        <v>3</v>
      </c>
      <c r="D5">
        <v>6</v>
      </c>
    </row>
    <row r="6" spans="1:6" x14ac:dyDescent="0.25">
      <c r="A6" t="s">
        <v>148</v>
      </c>
      <c r="B6">
        <v>2</v>
      </c>
      <c r="C6">
        <v>2</v>
      </c>
      <c r="D6">
        <v>4</v>
      </c>
    </row>
    <row r="7" spans="1:6" x14ac:dyDescent="0.25">
      <c r="A7" t="s">
        <v>39</v>
      </c>
      <c r="B7">
        <v>1</v>
      </c>
      <c r="C7">
        <v>8</v>
      </c>
      <c r="D7">
        <v>8</v>
      </c>
    </row>
    <row r="8" spans="1:6" x14ac:dyDescent="0.25">
      <c r="A8" t="s">
        <v>114</v>
      </c>
      <c r="B8">
        <v>6</v>
      </c>
      <c r="C8">
        <v>3</v>
      </c>
      <c r="D8">
        <v>18</v>
      </c>
    </row>
    <row r="9" spans="1:6" x14ac:dyDescent="0.25">
      <c r="A9" t="s">
        <v>156</v>
      </c>
      <c r="B9">
        <v>4</v>
      </c>
      <c r="C9">
        <v>1.25</v>
      </c>
      <c r="D9">
        <v>5</v>
      </c>
    </row>
    <row r="10" spans="1:6" x14ac:dyDescent="0.25">
      <c r="A10" t="s">
        <v>206</v>
      </c>
      <c r="B10">
        <v>1</v>
      </c>
      <c r="C10">
        <v>2</v>
      </c>
      <c r="D10">
        <v>2</v>
      </c>
    </row>
    <row r="11" spans="1:6" x14ac:dyDescent="0.25">
      <c r="A11" t="s">
        <v>150</v>
      </c>
      <c r="B11">
        <v>1</v>
      </c>
      <c r="C11">
        <v>2</v>
      </c>
      <c r="D11">
        <v>2</v>
      </c>
    </row>
    <row r="12" spans="1:6" x14ac:dyDescent="0.25">
      <c r="A12" t="s">
        <v>144</v>
      </c>
      <c r="B12">
        <v>1</v>
      </c>
      <c r="C12">
        <v>1</v>
      </c>
      <c r="D12">
        <v>1</v>
      </c>
    </row>
    <row r="13" spans="1:6" x14ac:dyDescent="0.25">
      <c r="A13" t="s">
        <v>13</v>
      </c>
      <c r="B13">
        <v>3</v>
      </c>
      <c r="C13">
        <v>5.333333333333333</v>
      </c>
      <c r="D13">
        <v>16</v>
      </c>
    </row>
    <row r="14" spans="1:6" x14ac:dyDescent="0.25">
      <c r="A14" t="s">
        <v>145</v>
      </c>
      <c r="B14">
        <v>1</v>
      </c>
      <c r="C14">
        <v>3</v>
      </c>
      <c r="D14">
        <v>3</v>
      </c>
    </row>
    <row r="15" spans="1:6" x14ac:dyDescent="0.25">
      <c r="A15" t="s">
        <v>133</v>
      </c>
      <c r="B15">
        <v>2</v>
      </c>
      <c r="C15">
        <v>3.5</v>
      </c>
      <c r="D15">
        <v>7</v>
      </c>
    </row>
    <row r="16" spans="1:6" x14ac:dyDescent="0.25">
      <c r="A16" t="s">
        <v>127</v>
      </c>
      <c r="B16">
        <v>2</v>
      </c>
      <c r="C16">
        <v>2.5</v>
      </c>
      <c r="D16">
        <v>5</v>
      </c>
    </row>
    <row r="17" spans="1:4" x14ac:dyDescent="0.25">
      <c r="A17" t="s">
        <v>138</v>
      </c>
      <c r="B17">
        <v>3</v>
      </c>
      <c r="C17">
        <v>2.6666666666666665</v>
      </c>
      <c r="D17">
        <v>8</v>
      </c>
    </row>
    <row r="18" spans="1:4" x14ac:dyDescent="0.25">
      <c r="A18" t="s">
        <v>153</v>
      </c>
      <c r="B18">
        <v>1</v>
      </c>
      <c r="C18">
        <v>2</v>
      </c>
      <c r="D18">
        <v>2</v>
      </c>
    </row>
    <row r="19" spans="1:4" x14ac:dyDescent="0.25">
      <c r="A19" t="s">
        <v>157</v>
      </c>
      <c r="B19">
        <v>2</v>
      </c>
      <c r="C19">
        <v>2</v>
      </c>
      <c r="D19">
        <v>4</v>
      </c>
    </row>
    <row r="20" spans="1:4" x14ac:dyDescent="0.25">
      <c r="A20" t="s">
        <v>158</v>
      </c>
      <c r="B20">
        <v>3</v>
      </c>
      <c r="C20">
        <v>3</v>
      </c>
      <c r="D20">
        <v>9</v>
      </c>
    </row>
    <row r="21" spans="1:4" x14ac:dyDescent="0.25">
      <c r="A21" t="s">
        <v>159</v>
      </c>
      <c r="B21">
        <v>1</v>
      </c>
      <c r="C21">
        <v>2</v>
      </c>
      <c r="D21">
        <v>2</v>
      </c>
    </row>
    <row r="22" spans="1:4" x14ac:dyDescent="0.25">
      <c r="A22" t="s">
        <v>160</v>
      </c>
      <c r="B22">
        <v>1</v>
      </c>
      <c r="C22">
        <v>3</v>
      </c>
      <c r="D22">
        <v>3</v>
      </c>
    </row>
    <row r="23" spans="1:4" x14ac:dyDescent="0.25">
      <c r="A23" t="s">
        <v>161</v>
      </c>
      <c r="B23">
        <v>1</v>
      </c>
      <c r="C23">
        <v>2</v>
      </c>
      <c r="D23">
        <v>2</v>
      </c>
    </row>
    <row r="24" spans="1:4" x14ac:dyDescent="0.25">
      <c r="A24" t="s">
        <v>123</v>
      </c>
      <c r="B24">
        <v>1</v>
      </c>
      <c r="C24">
        <v>5</v>
      </c>
      <c r="D24">
        <v>5</v>
      </c>
    </row>
    <row r="25" spans="1:4" x14ac:dyDescent="0.25">
      <c r="A25" t="s">
        <v>122</v>
      </c>
      <c r="B25">
        <v>2</v>
      </c>
      <c r="C25">
        <v>1.5</v>
      </c>
      <c r="D25">
        <v>3</v>
      </c>
    </row>
    <row r="26" spans="1:4" x14ac:dyDescent="0.25">
      <c r="A26" t="s">
        <v>100</v>
      </c>
      <c r="B26">
        <v>1</v>
      </c>
      <c r="C26">
        <v>8</v>
      </c>
      <c r="D26">
        <v>8</v>
      </c>
    </row>
    <row r="27" spans="1:4" x14ac:dyDescent="0.25">
      <c r="A27" t="s">
        <v>147</v>
      </c>
      <c r="B27">
        <v>3</v>
      </c>
      <c r="C27">
        <v>1.6666666666666667</v>
      </c>
      <c r="D27">
        <v>5</v>
      </c>
    </row>
    <row r="28" spans="1:4" x14ac:dyDescent="0.25">
      <c r="A28" t="s">
        <v>120</v>
      </c>
      <c r="B28">
        <v>3</v>
      </c>
      <c r="C28">
        <v>2.6666666666666665</v>
      </c>
      <c r="D28">
        <v>8</v>
      </c>
    </row>
    <row r="29" spans="1:4" x14ac:dyDescent="0.25">
      <c r="A29" t="s">
        <v>162</v>
      </c>
      <c r="B29">
        <v>1</v>
      </c>
      <c r="C29">
        <v>1</v>
      </c>
      <c r="D29">
        <v>1</v>
      </c>
    </row>
    <row r="30" spans="1:4" x14ac:dyDescent="0.25">
      <c r="A30" t="s">
        <v>163</v>
      </c>
      <c r="B30">
        <v>1</v>
      </c>
      <c r="C30">
        <v>2</v>
      </c>
      <c r="D30">
        <v>2</v>
      </c>
    </row>
    <row r="31" spans="1:4" x14ac:dyDescent="0.25">
      <c r="A31" t="s">
        <v>91</v>
      </c>
      <c r="B31">
        <v>2</v>
      </c>
      <c r="C31">
        <v>3</v>
      </c>
      <c r="D31">
        <v>6</v>
      </c>
    </row>
    <row r="32" spans="1:4" x14ac:dyDescent="0.25">
      <c r="A32" t="s">
        <v>115</v>
      </c>
      <c r="B32">
        <v>1</v>
      </c>
      <c r="C32">
        <v>5</v>
      </c>
      <c r="D32">
        <v>5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XFD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207</v>
      </c>
      <c r="B2">
        <v>1</v>
      </c>
      <c r="C2">
        <v>3</v>
      </c>
      <c r="D2">
        <v>3</v>
      </c>
    </row>
    <row r="3" spans="1:6" x14ac:dyDescent="0.25">
      <c r="A3" t="s">
        <v>148</v>
      </c>
      <c r="B3">
        <v>1</v>
      </c>
      <c r="C3">
        <v>1</v>
      </c>
      <c r="D3">
        <v>1</v>
      </c>
    </row>
    <row r="4" spans="1:6" x14ac:dyDescent="0.25">
      <c r="A4" t="s">
        <v>39</v>
      </c>
      <c r="B4">
        <v>1</v>
      </c>
      <c r="C4">
        <v>8</v>
      </c>
      <c r="D4">
        <v>8</v>
      </c>
    </row>
    <row r="5" spans="1:6" x14ac:dyDescent="0.25">
      <c r="A5" t="s">
        <v>114</v>
      </c>
      <c r="B5">
        <v>1</v>
      </c>
      <c r="C5">
        <v>1</v>
      </c>
      <c r="D5">
        <v>1</v>
      </c>
    </row>
    <row r="6" spans="1:6" x14ac:dyDescent="0.25">
      <c r="A6" t="s">
        <v>164</v>
      </c>
      <c r="B6">
        <v>4</v>
      </c>
      <c r="C6">
        <v>1.5</v>
      </c>
      <c r="D6">
        <v>6</v>
      </c>
    </row>
    <row r="7" spans="1:6" x14ac:dyDescent="0.25">
      <c r="A7" t="s">
        <v>156</v>
      </c>
      <c r="B7">
        <v>2</v>
      </c>
      <c r="C7">
        <v>2</v>
      </c>
      <c r="D7">
        <v>4</v>
      </c>
    </row>
    <row r="8" spans="1:6" x14ac:dyDescent="0.25">
      <c r="A8" t="s">
        <v>150</v>
      </c>
      <c r="B8">
        <v>1</v>
      </c>
      <c r="C8">
        <v>3</v>
      </c>
      <c r="D8">
        <v>3</v>
      </c>
    </row>
    <row r="9" spans="1:6" x14ac:dyDescent="0.25">
      <c r="A9" t="s">
        <v>144</v>
      </c>
      <c r="B9">
        <v>2</v>
      </c>
      <c r="C9">
        <v>3</v>
      </c>
      <c r="D9">
        <v>6</v>
      </c>
    </row>
    <row r="10" spans="1:6" x14ac:dyDescent="0.25">
      <c r="A10" t="s">
        <v>13</v>
      </c>
      <c r="B10">
        <v>1</v>
      </c>
      <c r="C10">
        <v>8</v>
      </c>
      <c r="D10">
        <v>8</v>
      </c>
    </row>
    <row r="11" spans="1:6" x14ac:dyDescent="0.25">
      <c r="A11" t="s">
        <v>151</v>
      </c>
      <c r="B11">
        <v>1</v>
      </c>
      <c r="C11">
        <v>8</v>
      </c>
      <c r="D11">
        <v>8</v>
      </c>
    </row>
    <row r="12" spans="1:6" x14ac:dyDescent="0.25">
      <c r="A12" t="s">
        <v>127</v>
      </c>
      <c r="B12">
        <v>6</v>
      </c>
      <c r="C12">
        <v>3.5</v>
      </c>
      <c r="D12">
        <v>21</v>
      </c>
    </row>
    <row r="13" spans="1:6" x14ac:dyDescent="0.25">
      <c r="A13" t="s">
        <v>157</v>
      </c>
      <c r="B13">
        <v>1</v>
      </c>
      <c r="C13">
        <v>8</v>
      </c>
      <c r="D13">
        <v>8</v>
      </c>
    </row>
    <row r="14" spans="1:6" x14ac:dyDescent="0.25">
      <c r="A14" t="s">
        <v>158</v>
      </c>
      <c r="B14">
        <v>3</v>
      </c>
      <c r="C14">
        <v>2</v>
      </c>
      <c r="D14">
        <v>6</v>
      </c>
    </row>
    <row r="15" spans="1:6" x14ac:dyDescent="0.25">
      <c r="A15" t="s">
        <v>160</v>
      </c>
      <c r="B15">
        <v>3</v>
      </c>
      <c r="C15">
        <v>2.3333333333333335</v>
      </c>
      <c r="D15">
        <v>7</v>
      </c>
    </row>
    <row r="16" spans="1:6" x14ac:dyDescent="0.25">
      <c r="A16" t="s">
        <v>143</v>
      </c>
      <c r="B16">
        <v>4</v>
      </c>
      <c r="C16">
        <v>2.75</v>
      </c>
      <c r="D16">
        <v>11</v>
      </c>
    </row>
    <row r="17" spans="1:4" x14ac:dyDescent="0.25">
      <c r="A17" t="s">
        <v>165</v>
      </c>
      <c r="B17">
        <v>1</v>
      </c>
      <c r="C17">
        <v>2</v>
      </c>
      <c r="D17">
        <v>2</v>
      </c>
    </row>
    <row r="18" spans="1:4" x14ac:dyDescent="0.25">
      <c r="A18" t="s">
        <v>161</v>
      </c>
      <c r="B18">
        <v>1</v>
      </c>
      <c r="C18">
        <v>3</v>
      </c>
      <c r="D18">
        <v>3</v>
      </c>
    </row>
    <row r="19" spans="1:4" x14ac:dyDescent="0.25">
      <c r="A19" t="s">
        <v>100</v>
      </c>
      <c r="B19">
        <v>3</v>
      </c>
      <c r="C19">
        <v>3.6666666666666665</v>
      </c>
      <c r="D19">
        <v>11</v>
      </c>
    </row>
    <row r="20" spans="1:4" x14ac:dyDescent="0.25">
      <c r="A20" t="s">
        <v>162</v>
      </c>
      <c r="B20">
        <v>4</v>
      </c>
      <c r="C20">
        <v>2.5</v>
      </c>
      <c r="D20">
        <v>10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sqref="A1:XFD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208</v>
      </c>
      <c r="B2">
        <v>1</v>
      </c>
      <c r="C2">
        <v>8</v>
      </c>
      <c r="D2">
        <v>8</v>
      </c>
    </row>
    <row r="3" spans="1:6" x14ac:dyDescent="0.25">
      <c r="A3" t="s">
        <v>148</v>
      </c>
      <c r="B3">
        <v>1</v>
      </c>
      <c r="C3">
        <v>2</v>
      </c>
      <c r="D3">
        <v>2</v>
      </c>
    </row>
    <row r="4" spans="1:6" x14ac:dyDescent="0.25">
      <c r="A4" t="s">
        <v>39</v>
      </c>
      <c r="B4">
        <v>1</v>
      </c>
      <c r="C4">
        <v>8</v>
      </c>
      <c r="D4">
        <v>8</v>
      </c>
    </row>
    <row r="5" spans="1:6" x14ac:dyDescent="0.25">
      <c r="A5" t="s">
        <v>149</v>
      </c>
      <c r="B5">
        <v>1</v>
      </c>
      <c r="C5">
        <v>8</v>
      </c>
      <c r="D5">
        <v>8</v>
      </c>
    </row>
    <row r="6" spans="1:6" x14ac:dyDescent="0.25">
      <c r="A6" t="s">
        <v>114</v>
      </c>
      <c r="B6">
        <v>1</v>
      </c>
      <c r="C6">
        <v>8</v>
      </c>
      <c r="D6">
        <v>8</v>
      </c>
    </row>
    <row r="7" spans="1:6" x14ac:dyDescent="0.25">
      <c r="A7" t="s">
        <v>164</v>
      </c>
      <c r="B7">
        <v>1</v>
      </c>
      <c r="C7">
        <v>1</v>
      </c>
      <c r="D7">
        <v>1</v>
      </c>
    </row>
    <row r="8" spans="1:6" x14ac:dyDescent="0.25">
      <c r="A8" t="s">
        <v>209</v>
      </c>
      <c r="B8">
        <v>1</v>
      </c>
      <c r="C8">
        <v>8</v>
      </c>
      <c r="D8">
        <v>8</v>
      </c>
    </row>
    <row r="9" spans="1:6" x14ac:dyDescent="0.25">
      <c r="A9" t="s">
        <v>150</v>
      </c>
      <c r="B9">
        <v>1</v>
      </c>
      <c r="C9">
        <v>2</v>
      </c>
      <c r="D9">
        <v>2</v>
      </c>
    </row>
    <row r="10" spans="1:6" x14ac:dyDescent="0.25">
      <c r="A10" t="s">
        <v>13</v>
      </c>
      <c r="B10">
        <v>1</v>
      </c>
      <c r="C10">
        <v>8</v>
      </c>
      <c r="D10">
        <v>8</v>
      </c>
    </row>
    <row r="11" spans="1:6" x14ac:dyDescent="0.25">
      <c r="A11" t="s">
        <v>145</v>
      </c>
      <c r="B11">
        <v>2</v>
      </c>
      <c r="C11">
        <v>2</v>
      </c>
      <c r="D11">
        <v>4</v>
      </c>
    </row>
    <row r="12" spans="1:6" x14ac:dyDescent="0.25">
      <c r="A12" t="s">
        <v>127</v>
      </c>
      <c r="B12">
        <v>5</v>
      </c>
      <c r="C12">
        <v>1.4</v>
      </c>
      <c r="D12">
        <v>7</v>
      </c>
    </row>
    <row r="13" spans="1:6" x14ac:dyDescent="0.25">
      <c r="A13" t="s">
        <v>210</v>
      </c>
      <c r="B13">
        <v>1</v>
      </c>
      <c r="C13">
        <v>2</v>
      </c>
      <c r="D13">
        <v>2</v>
      </c>
    </row>
    <row r="14" spans="1:6" x14ac:dyDescent="0.25">
      <c r="A14" t="s">
        <v>165</v>
      </c>
      <c r="B14">
        <v>4</v>
      </c>
      <c r="C14">
        <v>2.25</v>
      </c>
      <c r="D14">
        <v>9</v>
      </c>
    </row>
    <row r="15" spans="1:6" x14ac:dyDescent="0.25">
      <c r="A15" t="s">
        <v>123</v>
      </c>
      <c r="B15">
        <v>3</v>
      </c>
      <c r="C15">
        <v>5.333333333333333</v>
      </c>
      <c r="D15">
        <v>16</v>
      </c>
    </row>
    <row r="16" spans="1:6" x14ac:dyDescent="0.25">
      <c r="A16" t="s">
        <v>100</v>
      </c>
      <c r="B16">
        <v>2</v>
      </c>
      <c r="C16">
        <v>3.5</v>
      </c>
      <c r="D16">
        <v>7</v>
      </c>
    </row>
    <row r="17" spans="1:4" x14ac:dyDescent="0.25">
      <c r="A17" t="s">
        <v>162</v>
      </c>
      <c r="B17">
        <v>1</v>
      </c>
      <c r="C17">
        <v>2</v>
      </c>
      <c r="D17">
        <v>2</v>
      </c>
    </row>
    <row r="18" spans="1:4" x14ac:dyDescent="0.25">
      <c r="A18" t="s">
        <v>155</v>
      </c>
      <c r="B18">
        <v>1</v>
      </c>
      <c r="C18">
        <v>8</v>
      </c>
      <c r="D18">
        <v>8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"/>
  <sheetViews>
    <sheetView workbookViewId="0">
      <selection sqref="A1:XFD1"/>
    </sheetView>
  </sheetViews>
  <sheetFormatPr defaultRowHeight="15" x14ac:dyDescent="0.25"/>
  <cols>
    <col min="1" max="1" width="15.71093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39</v>
      </c>
      <c r="B2">
        <v>4</v>
      </c>
      <c r="C2">
        <v>4.75</v>
      </c>
      <c r="D2">
        <v>19</v>
      </c>
    </row>
    <row r="3" spans="1:6" x14ac:dyDescent="0.25">
      <c r="A3" t="s">
        <v>166</v>
      </c>
      <c r="B3">
        <v>1</v>
      </c>
      <c r="C3">
        <v>2</v>
      </c>
      <c r="D3">
        <v>2</v>
      </c>
    </row>
    <row r="4" spans="1:6" x14ac:dyDescent="0.25">
      <c r="A4" t="s">
        <v>13</v>
      </c>
      <c r="B4">
        <v>2</v>
      </c>
      <c r="C4">
        <v>4.5</v>
      </c>
      <c r="D4">
        <v>9</v>
      </c>
    </row>
    <row r="5" spans="1:6" x14ac:dyDescent="0.25">
      <c r="A5" t="s">
        <v>127</v>
      </c>
      <c r="B5">
        <v>4</v>
      </c>
      <c r="C5">
        <v>1.25</v>
      </c>
      <c r="D5">
        <v>5</v>
      </c>
    </row>
    <row r="6" spans="1:6" x14ac:dyDescent="0.25">
      <c r="A6" t="s">
        <v>39</v>
      </c>
      <c r="B6">
        <v>2</v>
      </c>
      <c r="C6">
        <v>8</v>
      </c>
      <c r="D6">
        <v>16</v>
      </c>
    </row>
    <row r="7" spans="1:6" x14ac:dyDescent="0.25">
      <c r="A7" t="s">
        <v>114</v>
      </c>
      <c r="B7">
        <v>2</v>
      </c>
      <c r="C7">
        <v>1.5</v>
      </c>
      <c r="D7">
        <v>3</v>
      </c>
    </row>
    <row r="8" spans="1:6" x14ac:dyDescent="0.25">
      <c r="A8" t="s">
        <v>170</v>
      </c>
      <c r="B8">
        <v>1</v>
      </c>
      <c r="C8">
        <v>2</v>
      </c>
      <c r="D8">
        <v>2</v>
      </c>
    </row>
    <row r="9" spans="1:6" x14ac:dyDescent="0.25">
      <c r="A9" t="s">
        <v>171</v>
      </c>
      <c r="B9">
        <v>2</v>
      </c>
      <c r="C9">
        <v>2</v>
      </c>
      <c r="D9">
        <v>4</v>
      </c>
    </row>
    <row r="10" spans="1:6" x14ac:dyDescent="0.25">
      <c r="A10" t="s">
        <v>156</v>
      </c>
      <c r="B10">
        <v>3</v>
      </c>
      <c r="C10">
        <v>3</v>
      </c>
      <c r="D10">
        <v>9</v>
      </c>
    </row>
    <row r="11" spans="1:6" x14ac:dyDescent="0.25">
      <c r="A11" t="s">
        <v>172</v>
      </c>
      <c r="B11">
        <v>1</v>
      </c>
      <c r="C11">
        <v>1</v>
      </c>
      <c r="D11">
        <v>1</v>
      </c>
    </row>
    <row r="12" spans="1:6" x14ac:dyDescent="0.25">
      <c r="A12" t="s">
        <v>173</v>
      </c>
      <c r="B12">
        <v>1</v>
      </c>
      <c r="C12">
        <v>2</v>
      </c>
      <c r="D12">
        <v>2</v>
      </c>
    </row>
    <row r="13" spans="1:6" x14ac:dyDescent="0.25">
      <c r="A13" t="s">
        <v>13</v>
      </c>
      <c r="B13">
        <v>5</v>
      </c>
      <c r="C13">
        <v>4.5999999999999996</v>
      </c>
      <c r="D13">
        <v>23</v>
      </c>
    </row>
    <row r="14" spans="1:6" x14ac:dyDescent="0.25">
      <c r="A14" t="s">
        <v>145</v>
      </c>
      <c r="B14">
        <v>6</v>
      </c>
      <c r="C14">
        <v>2.1666666666666665</v>
      </c>
      <c r="D14">
        <v>13</v>
      </c>
    </row>
    <row r="15" spans="1:6" x14ac:dyDescent="0.25">
      <c r="A15" t="s">
        <v>174</v>
      </c>
      <c r="B15">
        <v>2</v>
      </c>
      <c r="C15">
        <v>2.5</v>
      </c>
      <c r="D15">
        <v>5</v>
      </c>
    </row>
    <row r="16" spans="1:6" x14ac:dyDescent="0.25">
      <c r="A16" t="s">
        <v>175</v>
      </c>
      <c r="B16">
        <v>4</v>
      </c>
      <c r="C16">
        <v>2</v>
      </c>
      <c r="D16">
        <v>8</v>
      </c>
    </row>
    <row r="17" spans="1:4" x14ac:dyDescent="0.25">
      <c r="A17" t="s">
        <v>176</v>
      </c>
      <c r="B17">
        <v>1</v>
      </c>
      <c r="C17">
        <v>2</v>
      </c>
      <c r="D17">
        <v>2</v>
      </c>
    </row>
    <row r="18" spans="1:4" x14ac:dyDescent="0.25">
      <c r="A18" t="s">
        <v>127</v>
      </c>
      <c r="B18">
        <v>3</v>
      </c>
      <c r="C18">
        <v>2</v>
      </c>
      <c r="D18">
        <v>6</v>
      </c>
    </row>
    <row r="19" spans="1:4" x14ac:dyDescent="0.25">
      <c r="A19" t="s">
        <v>158</v>
      </c>
      <c r="B19">
        <v>2</v>
      </c>
      <c r="C19">
        <v>4</v>
      </c>
      <c r="D19">
        <v>8</v>
      </c>
    </row>
    <row r="20" spans="1:4" x14ac:dyDescent="0.25">
      <c r="A20" t="s">
        <v>159</v>
      </c>
      <c r="B20">
        <v>3</v>
      </c>
      <c r="C20">
        <v>2</v>
      </c>
      <c r="D20">
        <v>6</v>
      </c>
    </row>
    <row r="21" spans="1:4" x14ac:dyDescent="0.25">
      <c r="A21" t="s">
        <v>143</v>
      </c>
      <c r="B21">
        <v>1</v>
      </c>
      <c r="C21">
        <v>3</v>
      </c>
      <c r="D21">
        <v>3</v>
      </c>
    </row>
    <row r="22" spans="1:4" x14ac:dyDescent="0.25">
      <c r="A22" t="s">
        <v>165</v>
      </c>
      <c r="B22">
        <v>2</v>
      </c>
      <c r="C22">
        <v>1</v>
      </c>
      <c r="D22">
        <v>2</v>
      </c>
    </row>
    <row r="23" spans="1:4" x14ac:dyDescent="0.25">
      <c r="A23" t="s">
        <v>177</v>
      </c>
      <c r="B23">
        <v>5</v>
      </c>
      <c r="C23">
        <v>3.4</v>
      </c>
      <c r="D23">
        <v>17</v>
      </c>
    </row>
    <row r="24" spans="1:4" x14ac:dyDescent="0.25">
      <c r="A24" t="s">
        <v>123</v>
      </c>
      <c r="B24">
        <v>3</v>
      </c>
      <c r="C24">
        <v>3</v>
      </c>
      <c r="D24">
        <v>9</v>
      </c>
    </row>
    <row r="25" spans="1:4" x14ac:dyDescent="0.25">
      <c r="A25" t="s">
        <v>178</v>
      </c>
      <c r="B25">
        <v>3</v>
      </c>
      <c r="C25">
        <v>2</v>
      </c>
      <c r="D25">
        <v>6</v>
      </c>
    </row>
    <row r="26" spans="1:4" x14ac:dyDescent="0.25">
      <c r="A26" t="s">
        <v>122</v>
      </c>
      <c r="B26">
        <v>3</v>
      </c>
      <c r="C26">
        <v>2.3333333333333335</v>
      </c>
      <c r="D26">
        <v>7</v>
      </c>
    </row>
    <row r="27" spans="1:4" x14ac:dyDescent="0.25">
      <c r="A27" t="s">
        <v>100</v>
      </c>
      <c r="B27">
        <v>1</v>
      </c>
      <c r="C27">
        <v>5</v>
      </c>
      <c r="D27">
        <v>5</v>
      </c>
    </row>
    <row r="28" spans="1:4" x14ac:dyDescent="0.25">
      <c r="A28" t="s">
        <v>179</v>
      </c>
      <c r="B28">
        <v>1</v>
      </c>
      <c r="C28">
        <v>2</v>
      </c>
      <c r="D28">
        <v>2</v>
      </c>
    </row>
    <row r="29" spans="1:4" x14ac:dyDescent="0.25">
      <c r="A29" t="s">
        <v>180</v>
      </c>
      <c r="B29">
        <v>3</v>
      </c>
      <c r="C29">
        <v>1.3333333333333333</v>
      </c>
      <c r="D29">
        <v>4</v>
      </c>
    </row>
    <row r="30" spans="1:4" x14ac:dyDescent="0.25">
      <c r="A30" t="s">
        <v>162</v>
      </c>
      <c r="B30">
        <v>4</v>
      </c>
      <c r="C30">
        <v>2.5</v>
      </c>
      <c r="D30">
        <v>10</v>
      </c>
    </row>
    <row r="31" spans="1:4" x14ac:dyDescent="0.25">
      <c r="A31" t="s">
        <v>181</v>
      </c>
      <c r="B31">
        <v>1</v>
      </c>
      <c r="C31">
        <v>2</v>
      </c>
      <c r="D31">
        <v>2</v>
      </c>
    </row>
    <row r="32" spans="1:4" x14ac:dyDescent="0.25">
      <c r="A32" t="s">
        <v>182</v>
      </c>
      <c r="B32">
        <v>1</v>
      </c>
      <c r="C32">
        <v>2</v>
      </c>
      <c r="D32">
        <v>2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"/>
  <sheetViews>
    <sheetView workbookViewId="0">
      <selection sqref="A1:XFD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167</v>
      </c>
      <c r="B2">
        <v>1</v>
      </c>
      <c r="C2">
        <v>2</v>
      </c>
      <c r="D2">
        <v>2</v>
      </c>
    </row>
    <row r="3" spans="1:6" x14ac:dyDescent="0.25">
      <c r="A3" t="s">
        <v>168</v>
      </c>
      <c r="B3">
        <v>1</v>
      </c>
      <c r="C3">
        <v>2</v>
      </c>
      <c r="D3">
        <v>2</v>
      </c>
    </row>
    <row r="4" spans="1:6" x14ac:dyDescent="0.25">
      <c r="A4" t="s">
        <v>169</v>
      </c>
      <c r="B4">
        <v>2</v>
      </c>
      <c r="C4">
        <v>2.5</v>
      </c>
      <c r="D4">
        <v>5</v>
      </c>
    </row>
    <row r="5" spans="1:6" x14ac:dyDescent="0.25">
      <c r="A5" t="s">
        <v>148</v>
      </c>
      <c r="B5">
        <v>2</v>
      </c>
      <c r="C5">
        <v>5</v>
      </c>
      <c r="D5">
        <v>10</v>
      </c>
    </row>
    <row r="6" spans="1:6" x14ac:dyDescent="0.25">
      <c r="A6" t="s">
        <v>39</v>
      </c>
      <c r="B6">
        <v>2</v>
      </c>
      <c r="C6">
        <v>8</v>
      </c>
      <c r="D6">
        <v>16</v>
      </c>
    </row>
    <row r="7" spans="1:6" x14ac:dyDescent="0.25">
      <c r="A7" t="s">
        <v>114</v>
      </c>
      <c r="B7">
        <v>2</v>
      </c>
      <c r="C7">
        <v>1.5</v>
      </c>
      <c r="D7">
        <v>3</v>
      </c>
    </row>
    <row r="8" spans="1:6" x14ac:dyDescent="0.25">
      <c r="A8" t="s">
        <v>170</v>
      </c>
      <c r="B8">
        <v>1</v>
      </c>
      <c r="C8">
        <v>2</v>
      </c>
      <c r="D8">
        <v>2</v>
      </c>
    </row>
    <row r="9" spans="1:6" x14ac:dyDescent="0.25">
      <c r="A9" t="s">
        <v>171</v>
      </c>
      <c r="B9">
        <v>2</v>
      </c>
      <c r="C9">
        <v>2</v>
      </c>
      <c r="D9">
        <v>4</v>
      </c>
    </row>
    <row r="10" spans="1:6" x14ac:dyDescent="0.25">
      <c r="A10" t="s">
        <v>156</v>
      </c>
      <c r="B10">
        <v>3</v>
      </c>
      <c r="C10">
        <v>3</v>
      </c>
      <c r="D10">
        <v>9</v>
      </c>
    </row>
    <row r="11" spans="1:6" x14ac:dyDescent="0.25">
      <c r="A11" t="s">
        <v>172</v>
      </c>
      <c r="B11">
        <v>1</v>
      </c>
      <c r="C11">
        <v>1</v>
      </c>
      <c r="D11">
        <v>1</v>
      </c>
    </row>
    <row r="12" spans="1:6" x14ac:dyDescent="0.25">
      <c r="A12" t="s">
        <v>173</v>
      </c>
      <c r="B12">
        <v>1</v>
      </c>
      <c r="C12">
        <v>2</v>
      </c>
      <c r="D12">
        <v>2</v>
      </c>
    </row>
    <row r="13" spans="1:6" x14ac:dyDescent="0.25">
      <c r="A13" t="s">
        <v>13</v>
      </c>
      <c r="B13">
        <v>5</v>
      </c>
      <c r="C13">
        <v>4.5999999999999996</v>
      </c>
      <c r="D13">
        <v>23</v>
      </c>
    </row>
    <row r="14" spans="1:6" x14ac:dyDescent="0.25">
      <c r="A14" t="s">
        <v>145</v>
      </c>
      <c r="B14">
        <v>6</v>
      </c>
      <c r="C14">
        <v>2.1666666666666665</v>
      </c>
      <c r="D14">
        <v>13</v>
      </c>
    </row>
    <row r="15" spans="1:6" x14ac:dyDescent="0.25">
      <c r="A15" t="s">
        <v>174</v>
      </c>
      <c r="B15">
        <v>2</v>
      </c>
      <c r="C15">
        <v>2.5</v>
      </c>
      <c r="D15">
        <v>5</v>
      </c>
    </row>
    <row r="16" spans="1:6" x14ac:dyDescent="0.25">
      <c r="A16" t="s">
        <v>175</v>
      </c>
      <c r="B16">
        <v>4</v>
      </c>
      <c r="C16">
        <v>2</v>
      </c>
      <c r="D16">
        <v>8</v>
      </c>
    </row>
    <row r="17" spans="1:4" x14ac:dyDescent="0.25">
      <c r="A17" t="s">
        <v>176</v>
      </c>
      <c r="B17">
        <v>1</v>
      </c>
      <c r="C17">
        <v>2</v>
      </c>
      <c r="D17">
        <v>2</v>
      </c>
    </row>
    <row r="18" spans="1:4" x14ac:dyDescent="0.25">
      <c r="A18" t="s">
        <v>127</v>
      </c>
      <c r="B18">
        <v>3</v>
      </c>
      <c r="C18">
        <v>2</v>
      </c>
      <c r="D18">
        <v>6</v>
      </c>
    </row>
    <row r="19" spans="1:4" x14ac:dyDescent="0.25">
      <c r="A19" t="s">
        <v>158</v>
      </c>
      <c r="B19">
        <v>2</v>
      </c>
      <c r="C19">
        <v>4</v>
      </c>
      <c r="D19">
        <v>8</v>
      </c>
    </row>
    <row r="20" spans="1:4" x14ac:dyDescent="0.25">
      <c r="A20" t="s">
        <v>159</v>
      </c>
      <c r="B20">
        <v>3</v>
      </c>
      <c r="C20">
        <v>2</v>
      </c>
      <c r="D20">
        <v>6</v>
      </c>
    </row>
    <row r="21" spans="1:4" x14ac:dyDescent="0.25">
      <c r="A21" t="s">
        <v>143</v>
      </c>
      <c r="B21">
        <v>1</v>
      </c>
      <c r="C21">
        <v>3</v>
      </c>
      <c r="D21">
        <v>3</v>
      </c>
    </row>
    <row r="22" spans="1:4" x14ac:dyDescent="0.25">
      <c r="A22" t="s">
        <v>165</v>
      </c>
      <c r="B22">
        <v>2</v>
      </c>
      <c r="C22">
        <v>1</v>
      </c>
      <c r="D22">
        <v>2</v>
      </c>
    </row>
    <row r="23" spans="1:4" x14ac:dyDescent="0.25">
      <c r="A23" t="s">
        <v>177</v>
      </c>
      <c r="B23">
        <v>5</v>
      </c>
      <c r="C23">
        <v>3.4</v>
      </c>
      <c r="D23">
        <v>17</v>
      </c>
    </row>
    <row r="24" spans="1:4" x14ac:dyDescent="0.25">
      <c r="A24" t="s">
        <v>123</v>
      </c>
      <c r="B24">
        <v>3</v>
      </c>
      <c r="C24">
        <v>3</v>
      </c>
      <c r="D24">
        <v>9</v>
      </c>
    </row>
    <row r="25" spans="1:4" x14ac:dyDescent="0.25">
      <c r="A25" t="s">
        <v>178</v>
      </c>
      <c r="B25">
        <v>3</v>
      </c>
      <c r="C25">
        <v>2</v>
      </c>
      <c r="D25">
        <v>6</v>
      </c>
    </row>
    <row r="26" spans="1:4" x14ac:dyDescent="0.25">
      <c r="A26" t="s">
        <v>122</v>
      </c>
      <c r="B26">
        <v>3</v>
      </c>
      <c r="C26">
        <v>2.3333333333333335</v>
      </c>
      <c r="D26">
        <v>7</v>
      </c>
    </row>
    <row r="27" spans="1:4" x14ac:dyDescent="0.25">
      <c r="A27" t="s">
        <v>100</v>
      </c>
      <c r="B27">
        <v>1</v>
      </c>
      <c r="C27">
        <v>5</v>
      </c>
      <c r="D27">
        <v>5</v>
      </c>
    </row>
    <row r="28" spans="1:4" x14ac:dyDescent="0.25">
      <c r="A28" t="s">
        <v>179</v>
      </c>
      <c r="B28">
        <v>1</v>
      </c>
      <c r="C28">
        <v>2</v>
      </c>
      <c r="D28">
        <v>2</v>
      </c>
    </row>
    <row r="29" spans="1:4" x14ac:dyDescent="0.25">
      <c r="A29" t="s">
        <v>180</v>
      </c>
      <c r="B29">
        <v>3</v>
      </c>
      <c r="C29">
        <v>1.3333333333333333</v>
      </c>
      <c r="D29">
        <v>4</v>
      </c>
    </row>
    <row r="30" spans="1:4" x14ac:dyDescent="0.25">
      <c r="A30" t="s">
        <v>162</v>
      </c>
      <c r="B30">
        <v>4</v>
      </c>
      <c r="C30">
        <v>2.5</v>
      </c>
      <c r="D30">
        <v>10</v>
      </c>
    </row>
    <row r="31" spans="1:4" x14ac:dyDescent="0.25">
      <c r="A31" t="s">
        <v>181</v>
      </c>
      <c r="B31">
        <v>1</v>
      </c>
      <c r="C31">
        <v>2</v>
      </c>
      <c r="D31">
        <v>2</v>
      </c>
    </row>
    <row r="32" spans="1:4" x14ac:dyDescent="0.25">
      <c r="A32" t="s">
        <v>182</v>
      </c>
      <c r="B32">
        <v>1</v>
      </c>
      <c r="C32">
        <v>2</v>
      </c>
      <c r="D32">
        <v>2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workbookViewId="0">
      <selection activeCell="F1" sqref="F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167</v>
      </c>
      <c r="B2">
        <v>1</v>
      </c>
      <c r="C2">
        <v>1</v>
      </c>
      <c r="D2">
        <v>1</v>
      </c>
    </row>
    <row r="3" spans="1:6" x14ac:dyDescent="0.25">
      <c r="A3" t="s">
        <v>169</v>
      </c>
      <c r="B3">
        <v>1</v>
      </c>
      <c r="C3">
        <v>3</v>
      </c>
      <c r="D3">
        <v>3</v>
      </c>
    </row>
    <row r="4" spans="1:6" x14ac:dyDescent="0.25">
      <c r="A4" t="s">
        <v>39</v>
      </c>
      <c r="B4">
        <v>1</v>
      </c>
      <c r="C4">
        <v>8</v>
      </c>
      <c r="D4">
        <v>8</v>
      </c>
    </row>
    <row r="5" spans="1:6" x14ac:dyDescent="0.25">
      <c r="A5" t="s">
        <v>166</v>
      </c>
      <c r="B5">
        <v>1</v>
      </c>
      <c r="C5">
        <v>1</v>
      </c>
      <c r="D5">
        <v>1</v>
      </c>
    </row>
    <row r="6" spans="1:6" x14ac:dyDescent="0.25">
      <c r="A6" t="s">
        <v>114</v>
      </c>
      <c r="B6">
        <v>3</v>
      </c>
      <c r="C6">
        <v>3.3333333333333335</v>
      </c>
      <c r="D6">
        <v>10</v>
      </c>
    </row>
    <row r="7" spans="1:6" x14ac:dyDescent="0.25">
      <c r="A7" t="s">
        <v>170</v>
      </c>
      <c r="B7">
        <v>1</v>
      </c>
      <c r="C7">
        <v>3</v>
      </c>
      <c r="D7">
        <v>3</v>
      </c>
    </row>
    <row r="8" spans="1:6" x14ac:dyDescent="0.25">
      <c r="A8" t="s">
        <v>172</v>
      </c>
      <c r="B8">
        <v>1</v>
      </c>
      <c r="C8">
        <v>1</v>
      </c>
      <c r="D8">
        <v>1</v>
      </c>
    </row>
    <row r="9" spans="1:6" x14ac:dyDescent="0.25">
      <c r="A9" t="s">
        <v>13</v>
      </c>
      <c r="B9">
        <v>2</v>
      </c>
      <c r="C9">
        <v>4.5</v>
      </c>
      <c r="D9">
        <v>9</v>
      </c>
    </row>
    <row r="10" spans="1:6" x14ac:dyDescent="0.25">
      <c r="A10" t="s">
        <v>145</v>
      </c>
      <c r="B10">
        <v>1</v>
      </c>
      <c r="C10">
        <v>2</v>
      </c>
      <c r="D10">
        <v>2</v>
      </c>
    </row>
    <row r="11" spans="1:6" x14ac:dyDescent="0.25">
      <c r="A11" t="s">
        <v>183</v>
      </c>
      <c r="B11">
        <v>2</v>
      </c>
      <c r="C11">
        <v>2</v>
      </c>
      <c r="D11">
        <v>4</v>
      </c>
    </row>
    <row r="12" spans="1:6" x14ac:dyDescent="0.25">
      <c r="A12" t="s">
        <v>174</v>
      </c>
      <c r="B12">
        <v>1</v>
      </c>
      <c r="C12">
        <v>1</v>
      </c>
      <c r="D12">
        <v>1</v>
      </c>
    </row>
    <row r="13" spans="1:6" x14ac:dyDescent="0.25">
      <c r="A13" t="s">
        <v>175</v>
      </c>
      <c r="B13">
        <v>1</v>
      </c>
      <c r="C13">
        <v>2</v>
      </c>
      <c r="D13">
        <v>2</v>
      </c>
    </row>
    <row r="14" spans="1:6" x14ac:dyDescent="0.25">
      <c r="A14" t="s">
        <v>176</v>
      </c>
      <c r="B14">
        <v>1</v>
      </c>
      <c r="C14">
        <v>2</v>
      </c>
      <c r="D14">
        <v>2</v>
      </c>
    </row>
    <row r="15" spans="1:6" x14ac:dyDescent="0.25">
      <c r="A15" t="s">
        <v>127</v>
      </c>
      <c r="B15">
        <v>1</v>
      </c>
      <c r="C15">
        <v>2</v>
      </c>
      <c r="D15">
        <v>2</v>
      </c>
    </row>
    <row r="16" spans="1:6" x14ac:dyDescent="0.25">
      <c r="A16" t="s">
        <v>116</v>
      </c>
      <c r="B16">
        <v>1</v>
      </c>
      <c r="C16">
        <v>8</v>
      </c>
      <c r="D16">
        <v>8</v>
      </c>
    </row>
    <row r="17" spans="1:4" x14ac:dyDescent="0.25">
      <c r="A17" t="s">
        <v>159</v>
      </c>
      <c r="B17">
        <v>3</v>
      </c>
      <c r="C17">
        <v>2.3333333333333335</v>
      </c>
      <c r="D17">
        <v>7</v>
      </c>
    </row>
    <row r="18" spans="1:4" x14ac:dyDescent="0.25">
      <c r="A18" t="s">
        <v>211</v>
      </c>
      <c r="B18">
        <v>1</v>
      </c>
      <c r="C18">
        <v>2</v>
      </c>
      <c r="D18">
        <v>2</v>
      </c>
    </row>
    <row r="19" spans="1:4" x14ac:dyDescent="0.25">
      <c r="A19" t="s">
        <v>134</v>
      </c>
      <c r="B19">
        <v>1</v>
      </c>
      <c r="C19">
        <v>2</v>
      </c>
      <c r="D19">
        <v>2</v>
      </c>
    </row>
    <row r="20" spans="1:4" x14ac:dyDescent="0.25">
      <c r="A20" t="s">
        <v>178</v>
      </c>
      <c r="B20">
        <v>1</v>
      </c>
      <c r="C20">
        <v>1</v>
      </c>
      <c r="D20">
        <v>1</v>
      </c>
    </row>
    <row r="21" spans="1:4" x14ac:dyDescent="0.25">
      <c r="A21" t="s">
        <v>100</v>
      </c>
      <c r="B21">
        <v>1</v>
      </c>
      <c r="C21">
        <v>5</v>
      </c>
      <c r="D21">
        <v>5</v>
      </c>
    </row>
    <row r="22" spans="1:4" x14ac:dyDescent="0.25">
      <c r="A22" t="s">
        <v>180</v>
      </c>
      <c r="B22">
        <v>2</v>
      </c>
      <c r="C22">
        <v>3</v>
      </c>
      <c r="D22">
        <v>6</v>
      </c>
    </row>
    <row r="23" spans="1:4" x14ac:dyDescent="0.25">
      <c r="A23" t="s">
        <v>162</v>
      </c>
      <c r="B23">
        <v>3</v>
      </c>
      <c r="C23">
        <v>1.3333333333333333</v>
      </c>
      <c r="D23">
        <v>4</v>
      </c>
    </row>
    <row r="24" spans="1:4" x14ac:dyDescent="0.25">
      <c r="A24" t="s">
        <v>212</v>
      </c>
      <c r="B24">
        <v>1</v>
      </c>
      <c r="C24">
        <v>2</v>
      </c>
      <c r="D24">
        <v>2</v>
      </c>
    </row>
    <row r="25" spans="1:4" x14ac:dyDescent="0.25">
      <c r="A25" t="s">
        <v>181</v>
      </c>
      <c r="B25">
        <v>1</v>
      </c>
      <c r="C25">
        <v>1</v>
      </c>
      <c r="D25">
        <v>1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I13" sqref="I13"/>
    </sheetView>
  </sheetViews>
  <sheetFormatPr defaultRowHeight="15" x14ac:dyDescent="0.25"/>
  <cols>
    <col min="1" max="1" width="18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167</v>
      </c>
      <c r="B2">
        <v>1</v>
      </c>
      <c r="C2">
        <v>1</v>
      </c>
      <c r="D2">
        <v>1</v>
      </c>
    </row>
    <row r="3" spans="1:6" x14ac:dyDescent="0.25">
      <c r="A3" t="s">
        <v>166</v>
      </c>
      <c r="B3">
        <v>1</v>
      </c>
      <c r="C3">
        <v>2</v>
      </c>
      <c r="D3">
        <v>2</v>
      </c>
    </row>
    <row r="4" spans="1:6" x14ac:dyDescent="0.25">
      <c r="A4" t="s">
        <v>114</v>
      </c>
      <c r="B4">
        <v>2</v>
      </c>
      <c r="C4">
        <v>5.5</v>
      </c>
      <c r="D4">
        <v>11</v>
      </c>
    </row>
    <row r="5" spans="1:6" x14ac:dyDescent="0.25">
      <c r="A5" t="s">
        <v>170</v>
      </c>
      <c r="B5">
        <v>1</v>
      </c>
      <c r="C5">
        <v>2</v>
      </c>
      <c r="D5">
        <v>2</v>
      </c>
    </row>
    <row r="6" spans="1:6" x14ac:dyDescent="0.25">
      <c r="A6" t="s">
        <v>171</v>
      </c>
      <c r="B6">
        <v>3</v>
      </c>
      <c r="C6">
        <v>3.6666666666666665</v>
      </c>
      <c r="D6">
        <v>11</v>
      </c>
    </row>
    <row r="7" spans="1:6" x14ac:dyDescent="0.25">
      <c r="A7" t="s">
        <v>173</v>
      </c>
      <c r="B7">
        <v>1</v>
      </c>
      <c r="C7">
        <v>2</v>
      </c>
      <c r="D7">
        <v>2</v>
      </c>
    </row>
    <row r="8" spans="1:6" x14ac:dyDescent="0.25">
      <c r="A8" t="s">
        <v>13</v>
      </c>
      <c r="B8">
        <v>5</v>
      </c>
      <c r="C8">
        <v>5.6</v>
      </c>
      <c r="D8">
        <v>28</v>
      </c>
    </row>
    <row r="9" spans="1:6" x14ac:dyDescent="0.25">
      <c r="A9" t="s">
        <v>145</v>
      </c>
      <c r="B9">
        <v>1</v>
      </c>
      <c r="C9">
        <v>2</v>
      </c>
      <c r="D9">
        <v>2</v>
      </c>
    </row>
    <row r="10" spans="1:6" x14ac:dyDescent="0.25">
      <c r="A10" t="s">
        <v>127</v>
      </c>
      <c r="B10">
        <v>6</v>
      </c>
      <c r="C10">
        <v>2.5</v>
      </c>
      <c r="D10">
        <v>15</v>
      </c>
    </row>
    <row r="11" spans="1:6" x14ac:dyDescent="0.25">
      <c r="A11" t="s">
        <v>152</v>
      </c>
      <c r="B11">
        <v>1</v>
      </c>
      <c r="C11">
        <v>2</v>
      </c>
      <c r="D11">
        <v>2</v>
      </c>
    </row>
    <row r="12" spans="1:6" x14ac:dyDescent="0.25">
      <c r="A12" t="s">
        <v>213</v>
      </c>
      <c r="B12">
        <v>1</v>
      </c>
      <c r="C12">
        <v>2</v>
      </c>
      <c r="D12">
        <v>2</v>
      </c>
    </row>
    <row r="13" spans="1:6" x14ac:dyDescent="0.25">
      <c r="A13" t="s">
        <v>123</v>
      </c>
      <c r="B13">
        <v>2</v>
      </c>
      <c r="C13">
        <v>6.5</v>
      </c>
      <c r="D13">
        <v>13</v>
      </c>
    </row>
    <row r="14" spans="1:6" x14ac:dyDescent="0.25">
      <c r="A14" t="s">
        <v>122</v>
      </c>
      <c r="B14">
        <v>1</v>
      </c>
      <c r="C14">
        <v>1</v>
      </c>
      <c r="D14">
        <v>1</v>
      </c>
    </row>
    <row r="15" spans="1:6" x14ac:dyDescent="0.25">
      <c r="A15" t="s">
        <v>214</v>
      </c>
      <c r="B15">
        <v>1</v>
      </c>
      <c r="C15">
        <v>1</v>
      </c>
      <c r="D15">
        <v>1</v>
      </c>
    </row>
    <row r="16" spans="1:6" x14ac:dyDescent="0.25">
      <c r="A16" t="s">
        <v>100</v>
      </c>
      <c r="B16">
        <v>2</v>
      </c>
      <c r="C16">
        <v>6.5</v>
      </c>
      <c r="D16">
        <v>13</v>
      </c>
    </row>
    <row r="17" spans="1:4" x14ac:dyDescent="0.25">
      <c r="A17" t="s">
        <v>179</v>
      </c>
      <c r="B17">
        <v>1</v>
      </c>
      <c r="C17">
        <v>2</v>
      </c>
      <c r="D17">
        <v>2</v>
      </c>
    </row>
    <row r="18" spans="1:4" x14ac:dyDescent="0.25">
      <c r="A18" t="s">
        <v>180</v>
      </c>
      <c r="B18">
        <v>1</v>
      </c>
      <c r="C18">
        <v>3</v>
      </c>
      <c r="D18">
        <v>3</v>
      </c>
    </row>
    <row r="19" spans="1:4" x14ac:dyDescent="0.25">
      <c r="A19" t="s">
        <v>215</v>
      </c>
      <c r="B19">
        <v>1</v>
      </c>
      <c r="C19">
        <v>2</v>
      </c>
      <c r="D19">
        <v>2</v>
      </c>
    </row>
    <row r="20" spans="1:4" x14ac:dyDescent="0.25">
      <c r="A20" t="s">
        <v>184</v>
      </c>
      <c r="B20">
        <v>2</v>
      </c>
      <c r="C20">
        <v>2.5</v>
      </c>
      <c r="D20">
        <v>5</v>
      </c>
    </row>
    <row r="21" spans="1:4" x14ac:dyDescent="0.25">
      <c r="A21" t="s">
        <v>185</v>
      </c>
      <c r="B21">
        <v>1</v>
      </c>
      <c r="C21">
        <v>2</v>
      </c>
      <c r="D21">
        <v>2</v>
      </c>
    </row>
    <row r="22" spans="1:4" x14ac:dyDescent="0.25">
      <c r="A22" t="s">
        <v>115</v>
      </c>
      <c r="B22">
        <v>3</v>
      </c>
      <c r="C22">
        <v>2.3333333333333335</v>
      </c>
      <c r="D22">
        <v>7</v>
      </c>
    </row>
    <row r="23" spans="1:4" x14ac:dyDescent="0.25">
      <c r="A23" t="s">
        <v>186</v>
      </c>
      <c r="B23">
        <v>6</v>
      </c>
      <c r="C23">
        <v>2</v>
      </c>
      <c r="D23">
        <v>12</v>
      </c>
    </row>
    <row r="24" spans="1:4" x14ac:dyDescent="0.25">
      <c r="A24" t="s">
        <v>180</v>
      </c>
      <c r="B24">
        <v>1</v>
      </c>
      <c r="C24">
        <v>2</v>
      </c>
      <c r="D24">
        <v>2</v>
      </c>
    </row>
    <row r="25" spans="1:4" x14ac:dyDescent="0.25">
      <c r="A25" t="s">
        <v>140</v>
      </c>
      <c r="B25">
        <v>2</v>
      </c>
      <c r="C25">
        <v>4</v>
      </c>
      <c r="D25">
        <v>8</v>
      </c>
    </row>
    <row r="26" spans="1:4" x14ac:dyDescent="0.25">
      <c r="A26" t="s">
        <v>162</v>
      </c>
      <c r="B26">
        <v>1</v>
      </c>
      <c r="C26">
        <v>8</v>
      </c>
      <c r="D26">
        <v>8</v>
      </c>
    </row>
    <row r="27" spans="1:4" x14ac:dyDescent="0.25">
      <c r="A27" t="s">
        <v>184</v>
      </c>
      <c r="B27">
        <v>1</v>
      </c>
      <c r="C27">
        <v>2</v>
      </c>
      <c r="D27">
        <v>2</v>
      </c>
    </row>
    <row r="28" spans="1:4" x14ac:dyDescent="0.25">
      <c r="A28" t="s">
        <v>185</v>
      </c>
      <c r="B28">
        <v>2</v>
      </c>
      <c r="C28">
        <v>2.5</v>
      </c>
      <c r="D28">
        <v>5</v>
      </c>
    </row>
    <row r="29" spans="1:4" x14ac:dyDescent="0.25">
      <c r="A29" t="s">
        <v>187</v>
      </c>
      <c r="B29">
        <v>9</v>
      </c>
      <c r="C29">
        <v>1.7777777777777777</v>
      </c>
      <c r="D29">
        <v>16</v>
      </c>
    </row>
    <row r="30" spans="1:4" x14ac:dyDescent="0.25">
      <c r="A30" t="s">
        <v>115</v>
      </c>
      <c r="B30">
        <v>2</v>
      </c>
      <c r="C30">
        <v>5.5</v>
      </c>
      <c r="D30">
        <v>11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F1" sqref="F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6" x14ac:dyDescent="0.25">
      <c r="A1" s="9" t="s">
        <v>36</v>
      </c>
      <c r="B1" t="s">
        <v>45</v>
      </c>
      <c r="C1" t="s">
        <v>46</v>
      </c>
      <c r="D1" t="s">
        <v>47</v>
      </c>
      <c r="F1" s="6" t="s">
        <v>4</v>
      </c>
    </row>
    <row r="2" spans="1:6" x14ac:dyDescent="0.25">
      <c r="A2" t="s">
        <v>216</v>
      </c>
      <c r="B2">
        <v>8</v>
      </c>
      <c r="C2">
        <v>2.375</v>
      </c>
      <c r="D2">
        <v>19</v>
      </c>
    </row>
    <row r="3" spans="1:6" x14ac:dyDescent="0.25">
      <c r="A3" t="s">
        <v>167</v>
      </c>
      <c r="B3">
        <v>1</v>
      </c>
      <c r="C3">
        <v>3</v>
      </c>
      <c r="D3">
        <v>3</v>
      </c>
    </row>
    <row r="4" spans="1:6" x14ac:dyDescent="0.25">
      <c r="A4" t="s">
        <v>217</v>
      </c>
      <c r="B4">
        <v>4</v>
      </c>
      <c r="C4">
        <v>1.75</v>
      </c>
      <c r="D4">
        <v>7</v>
      </c>
    </row>
    <row r="5" spans="1:6" x14ac:dyDescent="0.25">
      <c r="A5" t="s">
        <v>168</v>
      </c>
      <c r="B5">
        <v>1</v>
      </c>
      <c r="C5">
        <v>8</v>
      </c>
      <c r="D5">
        <v>8</v>
      </c>
    </row>
    <row r="6" spans="1:6" x14ac:dyDescent="0.25">
      <c r="A6" t="s">
        <v>218</v>
      </c>
      <c r="B6">
        <v>4</v>
      </c>
      <c r="C6">
        <v>2.5</v>
      </c>
      <c r="D6">
        <v>10</v>
      </c>
    </row>
    <row r="7" spans="1:6" x14ac:dyDescent="0.25">
      <c r="A7" t="s">
        <v>171</v>
      </c>
      <c r="B7">
        <v>2</v>
      </c>
      <c r="C7">
        <v>2</v>
      </c>
      <c r="D7">
        <v>4</v>
      </c>
    </row>
    <row r="8" spans="1:6" x14ac:dyDescent="0.25">
      <c r="A8" t="s">
        <v>219</v>
      </c>
      <c r="B8">
        <v>7</v>
      </c>
      <c r="C8">
        <v>2.1428571428571428</v>
      </c>
      <c r="D8">
        <v>15</v>
      </c>
    </row>
    <row r="9" spans="1:6" x14ac:dyDescent="0.25">
      <c r="A9" t="s">
        <v>13</v>
      </c>
      <c r="B9">
        <v>2</v>
      </c>
      <c r="C9">
        <v>5.5</v>
      </c>
      <c r="D9">
        <v>11</v>
      </c>
    </row>
    <row r="10" spans="1:6" x14ac:dyDescent="0.25">
      <c r="A10" t="s">
        <v>145</v>
      </c>
      <c r="B10">
        <v>2</v>
      </c>
      <c r="C10">
        <v>4.5</v>
      </c>
      <c r="D10">
        <v>9</v>
      </c>
    </row>
    <row r="11" spans="1:6" x14ac:dyDescent="0.25">
      <c r="A11" t="s">
        <v>183</v>
      </c>
      <c r="B11">
        <v>1</v>
      </c>
      <c r="C11">
        <v>8</v>
      </c>
      <c r="D11">
        <v>8</v>
      </c>
    </row>
    <row r="12" spans="1:6" x14ac:dyDescent="0.25">
      <c r="A12" t="s">
        <v>175</v>
      </c>
      <c r="B12">
        <v>1</v>
      </c>
      <c r="C12">
        <v>1</v>
      </c>
      <c r="D12">
        <v>1</v>
      </c>
    </row>
    <row r="13" spans="1:6" x14ac:dyDescent="0.25">
      <c r="A13" t="s">
        <v>176</v>
      </c>
      <c r="B13">
        <v>4</v>
      </c>
      <c r="C13">
        <v>2</v>
      </c>
      <c r="D13">
        <v>8</v>
      </c>
    </row>
    <row r="14" spans="1:6" x14ac:dyDescent="0.25">
      <c r="A14" t="s">
        <v>127</v>
      </c>
      <c r="B14">
        <v>1</v>
      </c>
      <c r="C14">
        <v>1</v>
      </c>
      <c r="D14">
        <v>1</v>
      </c>
    </row>
    <row r="15" spans="1:6" x14ac:dyDescent="0.25">
      <c r="A15" t="s">
        <v>220</v>
      </c>
      <c r="B15">
        <v>2</v>
      </c>
      <c r="C15">
        <v>2.5</v>
      </c>
      <c r="D15">
        <v>5</v>
      </c>
    </row>
    <row r="16" spans="1:6" x14ac:dyDescent="0.25">
      <c r="A16" t="s">
        <v>221</v>
      </c>
      <c r="B16">
        <v>5</v>
      </c>
      <c r="C16">
        <v>1.8</v>
      </c>
      <c r="D16">
        <v>9</v>
      </c>
    </row>
    <row r="17" spans="1:4" x14ac:dyDescent="0.25">
      <c r="A17" t="s">
        <v>222</v>
      </c>
      <c r="B17">
        <v>2</v>
      </c>
      <c r="C17">
        <v>1.5</v>
      </c>
      <c r="D17">
        <v>3</v>
      </c>
    </row>
    <row r="18" spans="1:4" x14ac:dyDescent="0.25">
      <c r="A18" t="s">
        <v>159</v>
      </c>
      <c r="B18">
        <v>2</v>
      </c>
      <c r="C18">
        <v>2</v>
      </c>
      <c r="D18">
        <v>4</v>
      </c>
    </row>
    <row r="19" spans="1:4" x14ac:dyDescent="0.25">
      <c r="A19" t="s">
        <v>143</v>
      </c>
      <c r="B19">
        <v>2</v>
      </c>
      <c r="C19">
        <v>1.5</v>
      </c>
      <c r="D19">
        <v>3</v>
      </c>
    </row>
    <row r="20" spans="1:4" x14ac:dyDescent="0.25">
      <c r="A20" t="s">
        <v>134</v>
      </c>
      <c r="B20">
        <v>1</v>
      </c>
      <c r="C20">
        <v>8</v>
      </c>
      <c r="D20">
        <v>8</v>
      </c>
    </row>
    <row r="21" spans="1:4" x14ac:dyDescent="0.25">
      <c r="A21" t="s">
        <v>123</v>
      </c>
      <c r="B21">
        <v>1</v>
      </c>
      <c r="C21">
        <v>1</v>
      </c>
      <c r="D21">
        <v>1</v>
      </c>
    </row>
    <row r="22" spans="1:4" x14ac:dyDescent="0.25">
      <c r="A22" t="s">
        <v>178</v>
      </c>
      <c r="B22">
        <v>1</v>
      </c>
      <c r="C22">
        <v>1</v>
      </c>
      <c r="D22">
        <v>1</v>
      </c>
    </row>
    <row r="23" spans="1:4" x14ac:dyDescent="0.25">
      <c r="A23" t="s">
        <v>186</v>
      </c>
      <c r="B23">
        <v>6</v>
      </c>
      <c r="C23">
        <v>2</v>
      </c>
      <c r="D23">
        <v>12</v>
      </c>
    </row>
    <row r="24" spans="1:4" x14ac:dyDescent="0.25">
      <c r="A24" t="s">
        <v>180</v>
      </c>
      <c r="B24">
        <v>1</v>
      </c>
      <c r="C24">
        <v>2</v>
      </c>
      <c r="D24">
        <v>2</v>
      </c>
    </row>
    <row r="25" spans="1:4" x14ac:dyDescent="0.25">
      <c r="A25" t="s">
        <v>140</v>
      </c>
      <c r="B25">
        <v>2</v>
      </c>
      <c r="C25">
        <v>4</v>
      </c>
      <c r="D25">
        <v>8</v>
      </c>
    </row>
    <row r="26" spans="1:4" x14ac:dyDescent="0.25">
      <c r="A26" t="s">
        <v>162</v>
      </c>
      <c r="B26">
        <v>1</v>
      </c>
      <c r="C26">
        <v>8</v>
      </c>
      <c r="D26">
        <v>8</v>
      </c>
    </row>
    <row r="27" spans="1:4" x14ac:dyDescent="0.25">
      <c r="A27" t="s">
        <v>184</v>
      </c>
      <c r="B27">
        <v>1</v>
      </c>
      <c r="C27">
        <v>2</v>
      </c>
      <c r="D27">
        <v>2</v>
      </c>
    </row>
    <row r="28" spans="1:4" x14ac:dyDescent="0.25">
      <c r="A28" t="s">
        <v>185</v>
      </c>
      <c r="B28">
        <v>2</v>
      </c>
      <c r="C28">
        <v>2.5</v>
      </c>
      <c r="D28">
        <v>5</v>
      </c>
    </row>
    <row r="29" spans="1:4" x14ac:dyDescent="0.25">
      <c r="A29" t="s">
        <v>187</v>
      </c>
      <c r="B29">
        <v>9</v>
      </c>
      <c r="C29">
        <v>1.7777777777777777</v>
      </c>
      <c r="D29">
        <v>16</v>
      </c>
    </row>
    <row r="30" spans="1:4" x14ac:dyDescent="0.25">
      <c r="A30" t="s">
        <v>115</v>
      </c>
      <c r="B30">
        <v>2</v>
      </c>
      <c r="C30">
        <v>5.5</v>
      </c>
      <c r="D30">
        <v>11</v>
      </c>
    </row>
  </sheetData>
  <hyperlinks>
    <hyperlink ref="F1" location="Summary!A1" display="Summary Page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>
      <selection activeCell="H1" sqref="H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6" t="s">
        <v>4</v>
      </c>
    </row>
    <row r="2" spans="1:8" x14ac:dyDescent="0.25">
      <c r="A2" t="s">
        <v>202</v>
      </c>
      <c r="B2">
        <v>2</v>
      </c>
      <c r="C2">
        <v>5</v>
      </c>
      <c r="D2">
        <v>10</v>
      </c>
    </row>
    <row r="3" spans="1:8" x14ac:dyDescent="0.25">
      <c r="A3" t="s">
        <v>216</v>
      </c>
      <c r="B3">
        <v>13</v>
      </c>
      <c r="C3">
        <v>1.9230769230769231</v>
      </c>
      <c r="D3">
        <v>25</v>
      </c>
    </row>
    <row r="4" spans="1:8" x14ac:dyDescent="0.25">
      <c r="A4" t="s">
        <v>167</v>
      </c>
      <c r="B4">
        <v>1</v>
      </c>
      <c r="C4">
        <v>2</v>
      </c>
      <c r="D4">
        <v>2</v>
      </c>
    </row>
    <row r="5" spans="1:8" x14ac:dyDescent="0.25">
      <c r="A5" t="s">
        <v>217</v>
      </c>
      <c r="B5">
        <v>7</v>
      </c>
      <c r="C5">
        <v>2.2857142857142856</v>
      </c>
      <c r="D5">
        <v>16</v>
      </c>
    </row>
    <row r="6" spans="1:8" x14ac:dyDescent="0.25">
      <c r="A6" t="s">
        <v>39</v>
      </c>
      <c r="B6">
        <v>4</v>
      </c>
      <c r="C6">
        <v>3.75</v>
      </c>
      <c r="D6">
        <v>15</v>
      </c>
    </row>
    <row r="7" spans="1:8" x14ac:dyDescent="0.25">
      <c r="A7" t="s">
        <v>218</v>
      </c>
      <c r="B7">
        <v>12</v>
      </c>
      <c r="C7">
        <v>1.75</v>
      </c>
      <c r="D7">
        <v>21</v>
      </c>
    </row>
    <row r="8" spans="1:8" x14ac:dyDescent="0.25">
      <c r="A8" t="s">
        <v>166</v>
      </c>
      <c r="B8">
        <v>3</v>
      </c>
      <c r="C8">
        <v>4</v>
      </c>
      <c r="D8">
        <v>12</v>
      </c>
    </row>
    <row r="9" spans="1:8" x14ac:dyDescent="0.25">
      <c r="A9" t="s">
        <v>171</v>
      </c>
      <c r="B9">
        <v>2</v>
      </c>
      <c r="C9">
        <v>4.5</v>
      </c>
      <c r="D9">
        <v>9</v>
      </c>
    </row>
    <row r="10" spans="1:8" x14ac:dyDescent="0.25">
      <c r="A10" t="s">
        <v>219</v>
      </c>
      <c r="B10">
        <v>14</v>
      </c>
      <c r="C10">
        <v>1.8571428571428572</v>
      </c>
      <c r="D10">
        <v>26</v>
      </c>
    </row>
    <row r="11" spans="1:8" x14ac:dyDescent="0.25">
      <c r="A11" t="s">
        <v>173</v>
      </c>
      <c r="B11">
        <v>1</v>
      </c>
      <c r="C11">
        <v>2</v>
      </c>
      <c r="D11">
        <v>2</v>
      </c>
    </row>
    <row r="12" spans="1:8" x14ac:dyDescent="0.25">
      <c r="A12" t="s">
        <v>13</v>
      </c>
      <c r="B12">
        <v>10</v>
      </c>
      <c r="C12">
        <v>4.3</v>
      </c>
      <c r="D12">
        <v>43</v>
      </c>
    </row>
    <row r="13" spans="1:8" x14ac:dyDescent="0.25">
      <c r="A13" t="s">
        <v>145</v>
      </c>
      <c r="B13">
        <v>2</v>
      </c>
      <c r="C13">
        <v>1</v>
      </c>
      <c r="D13">
        <v>2</v>
      </c>
    </row>
    <row r="14" spans="1:8" x14ac:dyDescent="0.25">
      <c r="A14" t="s">
        <v>183</v>
      </c>
      <c r="B14">
        <v>1</v>
      </c>
      <c r="C14">
        <v>5</v>
      </c>
      <c r="D14">
        <v>5</v>
      </c>
    </row>
    <row r="15" spans="1:8" x14ac:dyDescent="0.25">
      <c r="A15" t="s">
        <v>176</v>
      </c>
      <c r="B15">
        <v>1</v>
      </c>
      <c r="C15">
        <v>8</v>
      </c>
      <c r="D15">
        <v>8</v>
      </c>
    </row>
    <row r="16" spans="1:8" x14ac:dyDescent="0.25">
      <c r="A16" t="s">
        <v>127</v>
      </c>
      <c r="B16">
        <v>6</v>
      </c>
      <c r="C16">
        <v>4</v>
      </c>
      <c r="D16">
        <v>24</v>
      </c>
    </row>
    <row r="17" spans="1:4" x14ac:dyDescent="0.25">
      <c r="A17" t="s">
        <v>220</v>
      </c>
      <c r="B17">
        <v>7</v>
      </c>
      <c r="C17">
        <v>2.4285714285714284</v>
      </c>
      <c r="D17">
        <v>17</v>
      </c>
    </row>
    <row r="18" spans="1:4" x14ac:dyDescent="0.25">
      <c r="A18" t="s">
        <v>221</v>
      </c>
      <c r="B18">
        <v>10</v>
      </c>
      <c r="C18">
        <v>1.7</v>
      </c>
      <c r="D18">
        <v>17</v>
      </c>
    </row>
    <row r="19" spans="1:4" x14ac:dyDescent="0.25">
      <c r="A19" t="s">
        <v>222</v>
      </c>
      <c r="B19">
        <v>1</v>
      </c>
      <c r="C19">
        <v>3</v>
      </c>
      <c r="D19">
        <v>3</v>
      </c>
    </row>
    <row r="20" spans="1:4" x14ac:dyDescent="0.25">
      <c r="A20" t="s">
        <v>165</v>
      </c>
      <c r="B20">
        <v>3</v>
      </c>
      <c r="C20">
        <v>5</v>
      </c>
      <c r="D20">
        <v>15</v>
      </c>
    </row>
    <row r="21" spans="1:4" x14ac:dyDescent="0.25">
      <c r="A21" t="s">
        <v>225</v>
      </c>
      <c r="B21">
        <v>3</v>
      </c>
      <c r="C21">
        <v>2.6666666666666665</v>
      </c>
      <c r="D21">
        <v>8</v>
      </c>
    </row>
    <row r="22" spans="1:4" x14ac:dyDescent="0.25">
      <c r="A22" t="s">
        <v>123</v>
      </c>
      <c r="B22">
        <v>1</v>
      </c>
      <c r="C22">
        <v>3</v>
      </c>
      <c r="D22">
        <v>3</v>
      </c>
    </row>
    <row r="23" spans="1:4" x14ac:dyDescent="0.25">
      <c r="A23" t="s">
        <v>178</v>
      </c>
      <c r="B23">
        <v>2</v>
      </c>
      <c r="C23">
        <v>2.5</v>
      </c>
      <c r="D23">
        <v>5</v>
      </c>
    </row>
    <row r="24" spans="1:4" x14ac:dyDescent="0.25">
      <c r="A24" t="s">
        <v>186</v>
      </c>
      <c r="B24">
        <v>6</v>
      </c>
      <c r="C24">
        <v>1.8333333333333333</v>
      </c>
      <c r="D24">
        <v>11</v>
      </c>
    </row>
    <row r="25" spans="1:4" x14ac:dyDescent="0.25">
      <c r="A25" t="s">
        <v>122</v>
      </c>
      <c r="B25">
        <v>2</v>
      </c>
      <c r="C25">
        <v>5.5</v>
      </c>
      <c r="D25">
        <v>11</v>
      </c>
    </row>
    <row r="26" spans="1:4" x14ac:dyDescent="0.25">
      <c r="A26" t="s">
        <v>226</v>
      </c>
      <c r="B26">
        <v>1</v>
      </c>
      <c r="C26">
        <v>1</v>
      </c>
      <c r="D26">
        <v>1</v>
      </c>
    </row>
    <row r="27" spans="1:4" x14ac:dyDescent="0.25">
      <c r="A27" t="s">
        <v>214</v>
      </c>
      <c r="B27">
        <v>1</v>
      </c>
      <c r="C27">
        <v>1</v>
      </c>
      <c r="D27">
        <v>1</v>
      </c>
    </row>
    <row r="28" spans="1:4" x14ac:dyDescent="0.25">
      <c r="A28" t="s">
        <v>179</v>
      </c>
      <c r="B28">
        <v>1</v>
      </c>
      <c r="C28">
        <v>2</v>
      </c>
      <c r="D28">
        <v>2</v>
      </c>
    </row>
    <row r="29" spans="1:4" x14ac:dyDescent="0.25">
      <c r="A29" t="s">
        <v>140</v>
      </c>
      <c r="B29">
        <v>9</v>
      </c>
      <c r="C29">
        <v>2.5555555555555554</v>
      </c>
      <c r="D29">
        <v>23</v>
      </c>
    </row>
    <row r="30" spans="1:4" x14ac:dyDescent="0.25">
      <c r="A30" t="s">
        <v>215</v>
      </c>
      <c r="B30">
        <v>2</v>
      </c>
      <c r="C30">
        <v>1.5</v>
      </c>
      <c r="D30">
        <v>3</v>
      </c>
    </row>
    <row r="31" spans="1:4" x14ac:dyDescent="0.25">
      <c r="A31" t="s">
        <v>162</v>
      </c>
      <c r="B31">
        <v>2</v>
      </c>
      <c r="C31">
        <v>3</v>
      </c>
      <c r="D31">
        <v>6</v>
      </c>
    </row>
    <row r="32" spans="1:4" x14ac:dyDescent="0.25">
      <c r="A32" t="s">
        <v>184</v>
      </c>
      <c r="B32">
        <v>1</v>
      </c>
      <c r="C32">
        <v>1</v>
      </c>
      <c r="D32">
        <v>1</v>
      </c>
    </row>
    <row r="33" spans="1:4" x14ac:dyDescent="0.25">
      <c r="A33" t="s">
        <v>212</v>
      </c>
      <c r="B33">
        <v>3</v>
      </c>
      <c r="C33">
        <v>3.6666666666666665</v>
      </c>
      <c r="D33">
        <v>11</v>
      </c>
    </row>
    <row r="34" spans="1:4" x14ac:dyDescent="0.25">
      <c r="A34" t="s">
        <v>185</v>
      </c>
      <c r="B34">
        <v>3</v>
      </c>
      <c r="C34">
        <v>2</v>
      </c>
      <c r="D34">
        <v>6</v>
      </c>
    </row>
    <row r="35" spans="1:4" x14ac:dyDescent="0.25">
      <c r="A35" t="s">
        <v>187</v>
      </c>
      <c r="B35">
        <v>10</v>
      </c>
      <c r="C35">
        <v>1.9</v>
      </c>
      <c r="D35">
        <v>19</v>
      </c>
    </row>
    <row r="36" spans="1:4" x14ac:dyDescent="0.25">
      <c r="A36" t="s">
        <v>115</v>
      </c>
      <c r="B36">
        <v>1</v>
      </c>
      <c r="C36">
        <v>5</v>
      </c>
      <c r="D36">
        <v>5</v>
      </c>
    </row>
  </sheetData>
  <hyperlinks>
    <hyperlink ref="H1" location="Summary!A1" display="Summary Page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"/>
  <sheetViews>
    <sheetView workbookViewId="0"/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4" x14ac:dyDescent="0.25">
      <c r="A1" t="s">
        <v>36</v>
      </c>
      <c r="B1" t="s">
        <v>45</v>
      </c>
      <c r="C1" t="s">
        <v>46</v>
      </c>
      <c r="D1" t="s">
        <v>47</v>
      </c>
    </row>
    <row r="2" spans="1:4" x14ac:dyDescent="0.25">
      <c r="A2" t="s">
        <v>202</v>
      </c>
      <c r="B2">
        <v>2</v>
      </c>
      <c r="C2">
        <v>5</v>
      </c>
      <c r="D2">
        <v>10</v>
      </c>
    </row>
    <row r="3" spans="1:4" x14ac:dyDescent="0.25">
      <c r="A3" t="s">
        <v>216</v>
      </c>
      <c r="B3">
        <v>13</v>
      </c>
      <c r="C3">
        <v>1.9230769230769231</v>
      </c>
      <c r="D3">
        <v>25</v>
      </c>
    </row>
    <row r="4" spans="1:4" x14ac:dyDescent="0.25">
      <c r="A4" t="s">
        <v>167</v>
      </c>
      <c r="B4">
        <v>1</v>
      </c>
      <c r="C4">
        <v>2</v>
      </c>
      <c r="D4">
        <v>2</v>
      </c>
    </row>
    <row r="5" spans="1:4" x14ac:dyDescent="0.25">
      <c r="A5" t="s">
        <v>217</v>
      </c>
      <c r="B5">
        <v>7</v>
      </c>
      <c r="C5">
        <v>2.2857142857142856</v>
      </c>
      <c r="D5">
        <v>16</v>
      </c>
    </row>
    <row r="6" spans="1:4" x14ac:dyDescent="0.25">
      <c r="A6" t="s">
        <v>39</v>
      </c>
      <c r="B6">
        <v>4</v>
      </c>
      <c r="C6">
        <v>3.75</v>
      </c>
      <c r="D6">
        <v>15</v>
      </c>
    </row>
    <row r="7" spans="1:4" x14ac:dyDescent="0.25">
      <c r="A7" t="s">
        <v>218</v>
      </c>
      <c r="B7">
        <v>12</v>
      </c>
      <c r="C7">
        <v>1.75</v>
      </c>
      <c r="D7">
        <v>21</v>
      </c>
    </row>
    <row r="8" spans="1:4" x14ac:dyDescent="0.25">
      <c r="A8" t="s">
        <v>166</v>
      </c>
      <c r="B8">
        <v>3</v>
      </c>
      <c r="C8">
        <v>4</v>
      </c>
      <c r="D8">
        <v>12</v>
      </c>
    </row>
    <row r="9" spans="1:4" x14ac:dyDescent="0.25">
      <c r="A9" t="s">
        <v>171</v>
      </c>
      <c r="B9">
        <v>2</v>
      </c>
      <c r="C9">
        <v>4.5</v>
      </c>
      <c r="D9">
        <v>9</v>
      </c>
    </row>
    <row r="10" spans="1:4" x14ac:dyDescent="0.25">
      <c r="A10" t="s">
        <v>219</v>
      </c>
      <c r="B10">
        <v>14</v>
      </c>
      <c r="C10">
        <v>1.8571428571428572</v>
      </c>
      <c r="D10">
        <v>26</v>
      </c>
    </row>
    <row r="11" spans="1:4" x14ac:dyDescent="0.25">
      <c r="A11" t="s">
        <v>173</v>
      </c>
      <c r="B11">
        <v>1</v>
      </c>
      <c r="C11">
        <v>2</v>
      </c>
      <c r="D11">
        <v>2</v>
      </c>
    </row>
    <row r="12" spans="1:4" x14ac:dyDescent="0.25">
      <c r="A12" t="s">
        <v>13</v>
      </c>
      <c r="B12">
        <v>10</v>
      </c>
      <c r="C12">
        <v>4.3</v>
      </c>
      <c r="D12">
        <v>43</v>
      </c>
    </row>
    <row r="13" spans="1:4" x14ac:dyDescent="0.25">
      <c r="A13" t="s">
        <v>145</v>
      </c>
      <c r="B13">
        <v>2</v>
      </c>
      <c r="C13">
        <v>1</v>
      </c>
      <c r="D13">
        <v>2</v>
      </c>
    </row>
    <row r="14" spans="1:4" x14ac:dyDescent="0.25">
      <c r="A14" t="s">
        <v>183</v>
      </c>
      <c r="B14">
        <v>1</v>
      </c>
      <c r="C14">
        <v>5</v>
      </c>
      <c r="D14">
        <v>5</v>
      </c>
    </row>
    <row r="15" spans="1:4" x14ac:dyDescent="0.25">
      <c r="A15" t="s">
        <v>176</v>
      </c>
      <c r="B15">
        <v>1</v>
      </c>
      <c r="C15">
        <v>8</v>
      </c>
      <c r="D15">
        <v>8</v>
      </c>
    </row>
    <row r="16" spans="1:4" x14ac:dyDescent="0.25">
      <c r="A16" t="s">
        <v>127</v>
      </c>
      <c r="B16">
        <v>6</v>
      </c>
      <c r="C16">
        <v>4</v>
      </c>
      <c r="D16">
        <v>24</v>
      </c>
    </row>
    <row r="17" spans="1:4" x14ac:dyDescent="0.25">
      <c r="A17" t="s">
        <v>220</v>
      </c>
      <c r="B17">
        <v>7</v>
      </c>
      <c r="C17">
        <v>2.4285714285714284</v>
      </c>
      <c r="D17">
        <v>17</v>
      </c>
    </row>
    <row r="18" spans="1:4" x14ac:dyDescent="0.25">
      <c r="A18" t="s">
        <v>221</v>
      </c>
      <c r="B18">
        <v>10</v>
      </c>
      <c r="C18">
        <v>1.7</v>
      </c>
      <c r="D18">
        <v>17</v>
      </c>
    </row>
    <row r="19" spans="1:4" x14ac:dyDescent="0.25">
      <c r="A19" t="s">
        <v>222</v>
      </c>
      <c r="B19">
        <v>1</v>
      </c>
      <c r="C19">
        <v>3</v>
      </c>
      <c r="D19">
        <v>3</v>
      </c>
    </row>
    <row r="20" spans="1:4" x14ac:dyDescent="0.25">
      <c r="A20" t="s">
        <v>165</v>
      </c>
      <c r="B20">
        <v>3</v>
      </c>
      <c r="C20">
        <v>5</v>
      </c>
      <c r="D20">
        <v>15</v>
      </c>
    </row>
    <row r="21" spans="1:4" x14ac:dyDescent="0.25">
      <c r="A21" t="s">
        <v>225</v>
      </c>
      <c r="B21">
        <v>3</v>
      </c>
      <c r="C21">
        <v>2.6666666666666665</v>
      </c>
      <c r="D21">
        <v>8</v>
      </c>
    </row>
    <row r="22" spans="1:4" x14ac:dyDescent="0.25">
      <c r="A22" t="s">
        <v>123</v>
      </c>
      <c r="B22">
        <v>1</v>
      </c>
      <c r="C22">
        <v>3</v>
      </c>
      <c r="D22">
        <v>3</v>
      </c>
    </row>
    <row r="23" spans="1:4" x14ac:dyDescent="0.25">
      <c r="A23" t="s">
        <v>178</v>
      </c>
      <c r="B23">
        <v>2</v>
      </c>
      <c r="C23">
        <v>2.5</v>
      </c>
      <c r="D23">
        <v>5</v>
      </c>
    </row>
    <row r="24" spans="1:4" x14ac:dyDescent="0.25">
      <c r="A24" t="s">
        <v>186</v>
      </c>
      <c r="B24">
        <v>6</v>
      </c>
      <c r="C24">
        <v>1.8333333333333333</v>
      </c>
      <c r="D24">
        <v>11</v>
      </c>
    </row>
    <row r="25" spans="1:4" x14ac:dyDescent="0.25">
      <c r="A25" t="s">
        <v>122</v>
      </c>
      <c r="B25">
        <v>2</v>
      </c>
      <c r="C25">
        <v>5.5</v>
      </c>
      <c r="D25">
        <v>11</v>
      </c>
    </row>
    <row r="26" spans="1:4" x14ac:dyDescent="0.25">
      <c r="A26" t="s">
        <v>226</v>
      </c>
      <c r="B26">
        <v>1</v>
      </c>
      <c r="C26">
        <v>1</v>
      </c>
      <c r="D26">
        <v>1</v>
      </c>
    </row>
    <row r="27" spans="1:4" x14ac:dyDescent="0.25">
      <c r="A27" t="s">
        <v>214</v>
      </c>
      <c r="B27">
        <v>1</v>
      </c>
      <c r="C27">
        <v>1</v>
      </c>
      <c r="D27">
        <v>1</v>
      </c>
    </row>
    <row r="28" spans="1:4" x14ac:dyDescent="0.25">
      <c r="A28" t="s">
        <v>179</v>
      </c>
      <c r="B28">
        <v>1</v>
      </c>
      <c r="C28">
        <v>2</v>
      </c>
      <c r="D28">
        <v>2</v>
      </c>
    </row>
    <row r="29" spans="1:4" x14ac:dyDescent="0.25">
      <c r="A29" t="s">
        <v>140</v>
      </c>
      <c r="B29">
        <v>9</v>
      </c>
      <c r="C29">
        <v>2.5555555555555554</v>
      </c>
      <c r="D29">
        <v>23</v>
      </c>
    </row>
    <row r="30" spans="1:4" x14ac:dyDescent="0.25">
      <c r="A30" t="s">
        <v>215</v>
      </c>
      <c r="B30">
        <v>2</v>
      </c>
      <c r="C30">
        <v>1.5</v>
      </c>
      <c r="D30">
        <v>3</v>
      </c>
    </row>
    <row r="31" spans="1:4" x14ac:dyDescent="0.25">
      <c r="A31" t="s">
        <v>162</v>
      </c>
      <c r="B31">
        <v>2</v>
      </c>
      <c r="C31">
        <v>3</v>
      </c>
      <c r="D31">
        <v>6</v>
      </c>
    </row>
    <row r="32" spans="1:4" x14ac:dyDescent="0.25">
      <c r="A32" t="s">
        <v>184</v>
      </c>
      <c r="B32">
        <v>1</v>
      </c>
      <c r="C32">
        <v>1</v>
      </c>
      <c r="D32">
        <v>1</v>
      </c>
    </row>
    <row r="33" spans="1:4" x14ac:dyDescent="0.25">
      <c r="A33" t="s">
        <v>212</v>
      </c>
      <c r="B33">
        <v>4</v>
      </c>
      <c r="C33">
        <v>3</v>
      </c>
      <c r="D33">
        <v>12</v>
      </c>
    </row>
    <row r="34" spans="1:4" x14ac:dyDescent="0.25">
      <c r="A34" t="s">
        <v>185</v>
      </c>
      <c r="B34">
        <v>3</v>
      </c>
      <c r="C34">
        <v>2</v>
      </c>
      <c r="D34">
        <v>6</v>
      </c>
    </row>
    <row r="35" spans="1:4" x14ac:dyDescent="0.25">
      <c r="A35" t="s">
        <v>187</v>
      </c>
      <c r="B35">
        <v>10</v>
      </c>
      <c r="C35">
        <v>1.9</v>
      </c>
      <c r="D35">
        <v>19</v>
      </c>
    </row>
    <row r="36" spans="1:4" x14ac:dyDescent="0.25">
      <c r="A36" t="s">
        <v>115</v>
      </c>
      <c r="B36">
        <v>1</v>
      </c>
      <c r="C36">
        <v>5</v>
      </c>
      <c r="D36">
        <v>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workbookViewId="0">
      <selection activeCell="H1" sqref="H1"/>
    </sheetView>
  </sheetViews>
  <sheetFormatPr defaultRowHeight="15" x14ac:dyDescent="0.25"/>
  <cols>
    <col min="1" max="1" width="19.5703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325</v>
      </c>
      <c r="B2">
        <v>2</v>
      </c>
      <c r="C2">
        <v>2.5</v>
      </c>
      <c r="D2">
        <v>5</v>
      </c>
    </row>
    <row r="3" spans="1:8" x14ac:dyDescent="0.25">
      <c r="A3" t="s">
        <v>326</v>
      </c>
      <c r="B3">
        <v>3</v>
      </c>
      <c r="C3">
        <v>1.6666666666666667</v>
      </c>
      <c r="D3">
        <v>5</v>
      </c>
    </row>
    <row r="4" spans="1:8" x14ac:dyDescent="0.25">
      <c r="A4" t="s">
        <v>327</v>
      </c>
      <c r="B4">
        <v>1</v>
      </c>
      <c r="C4">
        <v>3</v>
      </c>
      <c r="D4">
        <v>3</v>
      </c>
    </row>
    <row r="5" spans="1:8" x14ac:dyDescent="0.25">
      <c r="A5" t="s">
        <v>328</v>
      </c>
      <c r="B5">
        <v>1</v>
      </c>
      <c r="C5">
        <v>1</v>
      </c>
      <c r="D5">
        <v>1</v>
      </c>
    </row>
    <row r="6" spans="1:8" x14ac:dyDescent="0.25">
      <c r="A6" t="s">
        <v>329</v>
      </c>
      <c r="B6">
        <v>1</v>
      </c>
      <c r="C6">
        <v>2</v>
      </c>
      <c r="D6">
        <v>2</v>
      </c>
    </row>
    <row r="7" spans="1:8" x14ac:dyDescent="0.25">
      <c r="A7" t="s">
        <v>330</v>
      </c>
      <c r="B7">
        <v>2</v>
      </c>
      <c r="C7">
        <v>1.5</v>
      </c>
      <c r="D7">
        <v>3</v>
      </c>
    </row>
    <row r="8" spans="1:8" x14ac:dyDescent="0.25">
      <c r="A8" t="s">
        <v>39</v>
      </c>
      <c r="B8">
        <v>2</v>
      </c>
      <c r="C8">
        <v>5</v>
      </c>
      <c r="D8">
        <v>10</v>
      </c>
    </row>
    <row r="9" spans="1:8" x14ac:dyDescent="0.25">
      <c r="A9" t="s">
        <v>166</v>
      </c>
      <c r="B9">
        <v>1</v>
      </c>
      <c r="C9">
        <v>3</v>
      </c>
      <c r="D9">
        <v>3</v>
      </c>
    </row>
    <row r="10" spans="1:8" x14ac:dyDescent="0.25">
      <c r="A10" t="s">
        <v>114</v>
      </c>
      <c r="B10">
        <v>3</v>
      </c>
      <c r="C10">
        <v>2.3333333333333335</v>
      </c>
      <c r="D10">
        <v>7</v>
      </c>
    </row>
    <row r="11" spans="1:8" x14ac:dyDescent="0.25">
      <c r="A11" t="s">
        <v>331</v>
      </c>
      <c r="B11">
        <v>2</v>
      </c>
      <c r="C11">
        <v>2</v>
      </c>
      <c r="D11">
        <v>4</v>
      </c>
    </row>
    <row r="12" spans="1:8" x14ac:dyDescent="0.25">
      <c r="A12" t="s">
        <v>145</v>
      </c>
      <c r="B12">
        <v>5</v>
      </c>
      <c r="C12">
        <v>3</v>
      </c>
      <c r="D12">
        <v>15</v>
      </c>
    </row>
    <row r="13" spans="1:8" x14ac:dyDescent="0.25">
      <c r="A13" t="s">
        <v>175</v>
      </c>
      <c r="B13">
        <v>1</v>
      </c>
      <c r="C13">
        <v>3</v>
      </c>
      <c r="D13">
        <v>3</v>
      </c>
    </row>
    <row r="14" spans="1:8" x14ac:dyDescent="0.25">
      <c r="A14" t="s">
        <v>332</v>
      </c>
      <c r="B14">
        <v>2</v>
      </c>
      <c r="C14">
        <v>1.5</v>
      </c>
      <c r="D14">
        <v>3</v>
      </c>
    </row>
    <row r="15" spans="1:8" x14ac:dyDescent="0.25">
      <c r="A15" t="s">
        <v>176</v>
      </c>
      <c r="B15">
        <v>2</v>
      </c>
      <c r="C15">
        <v>2.5</v>
      </c>
      <c r="D15">
        <v>5</v>
      </c>
    </row>
    <row r="16" spans="1:8" x14ac:dyDescent="0.25">
      <c r="A16" t="s">
        <v>333</v>
      </c>
      <c r="B16">
        <v>1</v>
      </c>
      <c r="C16">
        <v>2</v>
      </c>
      <c r="D16">
        <v>2</v>
      </c>
    </row>
    <row r="17" spans="1:4" x14ac:dyDescent="0.25">
      <c r="A17" t="s">
        <v>334</v>
      </c>
      <c r="B17">
        <v>3</v>
      </c>
      <c r="C17">
        <v>2.3333333333333335</v>
      </c>
      <c r="D17">
        <v>7</v>
      </c>
    </row>
    <row r="18" spans="1:4" x14ac:dyDescent="0.25">
      <c r="A18" t="s">
        <v>335</v>
      </c>
      <c r="B18">
        <v>1</v>
      </c>
      <c r="C18">
        <v>2</v>
      </c>
      <c r="D18">
        <v>2</v>
      </c>
    </row>
    <row r="19" spans="1:4" x14ac:dyDescent="0.25">
      <c r="A19" t="s">
        <v>43</v>
      </c>
      <c r="B19">
        <v>1</v>
      </c>
      <c r="C19">
        <v>1</v>
      </c>
      <c r="D19">
        <v>1</v>
      </c>
    </row>
    <row r="20" spans="1:4" x14ac:dyDescent="0.25">
      <c r="A20" t="s">
        <v>336</v>
      </c>
      <c r="B20">
        <v>1</v>
      </c>
      <c r="C20">
        <v>3</v>
      </c>
      <c r="D20">
        <v>3</v>
      </c>
    </row>
    <row r="21" spans="1:4" x14ac:dyDescent="0.25">
      <c r="A21" t="s">
        <v>337</v>
      </c>
      <c r="B21">
        <v>2</v>
      </c>
      <c r="C21">
        <v>3.5</v>
      </c>
      <c r="D21">
        <v>7</v>
      </c>
    </row>
    <row r="22" spans="1:4" x14ac:dyDescent="0.25">
      <c r="A22" t="s">
        <v>159</v>
      </c>
      <c r="B22">
        <v>2</v>
      </c>
      <c r="C22">
        <v>3</v>
      </c>
      <c r="D22">
        <v>6</v>
      </c>
    </row>
    <row r="23" spans="1:4" x14ac:dyDescent="0.25">
      <c r="A23" t="s">
        <v>165</v>
      </c>
      <c r="B23">
        <v>1</v>
      </c>
      <c r="C23">
        <v>3</v>
      </c>
      <c r="D23">
        <v>3</v>
      </c>
    </row>
    <row r="24" spans="1:4" x14ac:dyDescent="0.25">
      <c r="A24" t="s">
        <v>225</v>
      </c>
      <c r="B24">
        <v>5</v>
      </c>
      <c r="C24">
        <v>4</v>
      </c>
      <c r="D24">
        <v>20</v>
      </c>
    </row>
    <row r="25" spans="1:4" x14ac:dyDescent="0.25">
      <c r="A25" t="s">
        <v>338</v>
      </c>
      <c r="B25">
        <v>2</v>
      </c>
      <c r="C25">
        <v>2</v>
      </c>
      <c r="D25">
        <v>4</v>
      </c>
    </row>
    <row r="26" spans="1:4" x14ac:dyDescent="0.25">
      <c r="A26" t="s">
        <v>339</v>
      </c>
      <c r="B26">
        <v>3</v>
      </c>
      <c r="C26">
        <v>2.3333333333333335</v>
      </c>
      <c r="D26">
        <v>7</v>
      </c>
    </row>
    <row r="27" spans="1:4" x14ac:dyDescent="0.25">
      <c r="A27" t="s">
        <v>180</v>
      </c>
      <c r="B27">
        <v>3</v>
      </c>
      <c r="C27">
        <v>1.6666666666666667</v>
      </c>
      <c r="D27">
        <v>5</v>
      </c>
    </row>
    <row r="28" spans="1:4" x14ac:dyDescent="0.25">
      <c r="A28" t="s">
        <v>340</v>
      </c>
      <c r="B28">
        <v>3</v>
      </c>
      <c r="C28">
        <v>2.3333333333333335</v>
      </c>
      <c r="D28">
        <v>7</v>
      </c>
    </row>
    <row r="29" spans="1:4" x14ac:dyDescent="0.25">
      <c r="A29" t="s">
        <v>341</v>
      </c>
      <c r="B29">
        <v>1</v>
      </c>
      <c r="C29">
        <v>3</v>
      </c>
      <c r="D29">
        <v>3</v>
      </c>
    </row>
    <row r="30" spans="1:4" x14ac:dyDescent="0.25">
      <c r="A30" t="s">
        <v>342</v>
      </c>
      <c r="B30">
        <v>3</v>
      </c>
      <c r="C30">
        <v>2</v>
      </c>
      <c r="D30">
        <v>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workbookViewId="0">
      <selection activeCell="H1" sqref="H1"/>
    </sheetView>
  </sheetViews>
  <sheetFormatPr defaultRowHeight="15" x14ac:dyDescent="0.25"/>
  <cols>
    <col min="1" max="1" width="13.85546875" customWidth="1"/>
    <col min="2" max="2" width="11.7109375" bestFit="1" customWidth="1"/>
    <col min="3" max="3" width="9.7109375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244</v>
      </c>
      <c r="B2">
        <v>2</v>
      </c>
      <c r="C2">
        <v>1.5</v>
      </c>
      <c r="D2">
        <v>3</v>
      </c>
    </row>
    <row r="3" spans="1:8" x14ac:dyDescent="0.25">
      <c r="A3" t="s">
        <v>247</v>
      </c>
      <c r="B3">
        <v>1</v>
      </c>
      <c r="C3">
        <v>1</v>
      </c>
      <c r="D3">
        <v>1</v>
      </c>
    </row>
    <row r="4" spans="1:8" x14ac:dyDescent="0.25">
      <c r="A4" t="s">
        <v>248</v>
      </c>
      <c r="B4">
        <v>1</v>
      </c>
      <c r="C4">
        <v>1</v>
      </c>
      <c r="D4">
        <v>1</v>
      </c>
    </row>
    <row r="5" spans="1:8" x14ac:dyDescent="0.25">
      <c r="A5" t="s">
        <v>249</v>
      </c>
      <c r="B5">
        <v>1</v>
      </c>
      <c r="C5">
        <v>1</v>
      </c>
      <c r="D5">
        <v>1</v>
      </c>
    </row>
    <row r="6" spans="1:8" x14ac:dyDescent="0.25">
      <c r="A6" t="s">
        <v>232</v>
      </c>
      <c r="B6">
        <v>2</v>
      </c>
      <c r="C6">
        <v>1.5</v>
      </c>
      <c r="D6">
        <v>3</v>
      </c>
    </row>
    <row r="7" spans="1:8" x14ac:dyDescent="0.25">
      <c r="A7" t="s">
        <v>233</v>
      </c>
      <c r="B7">
        <v>4</v>
      </c>
      <c r="C7">
        <v>1.25</v>
      </c>
      <c r="D7">
        <v>5</v>
      </c>
    </row>
    <row r="8" spans="1:8" x14ac:dyDescent="0.25">
      <c r="A8" t="s">
        <v>234</v>
      </c>
      <c r="B8">
        <v>2</v>
      </c>
      <c r="C8">
        <v>2</v>
      </c>
      <c r="D8">
        <v>4</v>
      </c>
    </row>
    <row r="9" spans="1:8" x14ac:dyDescent="0.25">
      <c r="A9" t="s">
        <v>235</v>
      </c>
      <c r="B9">
        <v>1</v>
      </c>
      <c r="C9">
        <v>1</v>
      </c>
      <c r="D9">
        <v>1</v>
      </c>
    </row>
    <row r="10" spans="1:8" x14ac:dyDescent="0.25">
      <c r="A10" t="s">
        <v>236</v>
      </c>
      <c r="B10">
        <v>1</v>
      </c>
      <c r="C10">
        <v>2</v>
      </c>
      <c r="D10">
        <v>2</v>
      </c>
    </row>
    <row r="11" spans="1:8" x14ac:dyDescent="0.25">
      <c r="A11" t="s">
        <v>237</v>
      </c>
      <c r="B11">
        <v>1</v>
      </c>
      <c r="C11">
        <v>8</v>
      </c>
      <c r="D11">
        <v>8</v>
      </c>
    </row>
    <row r="12" spans="1:8" x14ac:dyDescent="0.25">
      <c r="A12" t="s">
        <v>238</v>
      </c>
      <c r="B12">
        <v>2</v>
      </c>
      <c r="C12">
        <v>1.5</v>
      </c>
      <c r="D12">
        <v>3</v>
      </c>
    </row>
    <row r="13" spans="1:8" x14ac:dyDescent="0.25">
      <c r="A13" t="s">
        <v>239</v>
      </c>
      <c r="B13">
        <v>1</v>
      </c>
      <c r="C13">
        <v>5</v>
      </c>
      <c r="D13">
        <v>5</v>
      </c>
    </row>
    <row r="14" spans="1:8" x14ac:dyDescent="0.25">
      <c r="A14" t="s">
        <v>240</v>
      </c>
      <c r="B14">
        <v>2</v>
      </c>
      <c r="C14">
        <v>2</v>
      </c>
      <c r="D14">
        <v>4</v>
      </c>
    </row>
    <row r="15" spans="1:8" x14ac:dyDescent="0.25">
      <c r="A15" t="s">
        <v>241</v>
      </c>
      <c r="B15">
        <v>1</v>
      </c>
      <c r="C15">
        <v>5</v>
      </c>
      <c r="D15">
        <v>5</v>
      </c>
    </row>
    <row r="16" spans="1:8" x14ac:dyDescent="0.25">
      <c r="A16" t="s">
        <v>242</v>
      </c>
      <c r="B16">
        <v>3</v>
      </c>
      <c r="C16">
        <v>3</v>
      </c>
      <c r="D16">
        <v>9</v>
      </c>
    </row>
    <row r="17" spans="1:4" x14ac:dyDescent="0.25">
      <c r="A17" t="s">
        <v>243</v>
      </c>
      <c r="B17">
        <v>2</v>
      </c>
      <c r="C17">
        <v>5</v>
      </c>
      <c r="D17">
        <v>10</v>
      </c>
    </row>
    <row r="18" spans="1:4" x14ac:dyDescent="0.25">
      <c r="A18" t="s">
        <v>244</v>
      </c>
      <c r="B18">
        <v>3</v>
      </c>
      <c r="C18">
        <v>2.3333333333333335</v>
      </c>
      <c r="D18">
        <v>7</v>
      </c>
    </row>
    <row r="19" spans="1:4" x14ac:dyDescent="0.25">
      <c r="A19" t="s">
        <v>245</v>
      </c>
      <c r="B19">
        <v>4</v>
      </c>
      <c r="C19">
        <v>3</v>
      </c>
      <c r="D19">
        <v>12</v>
      </c>
    </row>
    <row r="20" spans="1:4" x14ac:dyDescent="0.25">
      <c r="A20" t="s">
        <v>246</v>
      </c>
      <c r="B20">
        <v>3</v>
      </c>
      <c r="C20">
        <v>3</v>
      </c>
      <c r="D20">
        <v>9</v>
      </c>
    </row>
    <row r="21" spans="1:4" x14ac:dyDescent="0.25">
      <c r="A21" t="s">
        <v>247</v>
      </c>
      <c r="B21">
        <v>2</v>
      </c>
      <c r="C21">
        <v>2.5</v>
      </c>
      <c r="D21">
        <v>5</v>
      </c>
    </row>
    <row r="22" spans="1:4" x14ac:dyDescent="0.25">
      <c r="A22" t="s">
        <v>248</v>
      </c>
      <c r="B22">
        <v>1</v>
      </c>
      <c r="C22">
        <v>3</v>
      </c>
      <c r="D22">
        <v>3</v>
      </c>
    </row>
    <row r="23" spans="1:4" x14ac:dyDescent="0.25">
      <c r="A23" t="s">
        <v>249</v>
      </c>
      <c r="B23">
        <v>4</v>
      </c>
      <c r="C23">
        <v>2.25</v>
      </c>
      <c r="D23">
        <v>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>
      <selection activeCell="H1" sqref="H1"/>
    </sheetView>
  </sheetViews>
  <sheetFormatPr defaultRowHeight="15" x14ac:dyDescent="0.25"/>
  <cols>
    <col min="1" max="1" width="13.855468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244</v>
      </c>
      <c r="B2">
        <v>2</v>
      </c>
      <c r="C2">
        <v>1.5</v>
      </c>
      <c r="D2">
        <v>3</v>
      </c>
    </row>
    <row r="3" spans="1:8" x14ac:dyDescent="0.25">
      <c r="A3" t="s">
        <v>247</v>
      </c>
      <c r="B3">
        <v>1</v>
      </c>
      <c r="C3">
        <v>1</v>
      </c>
      <c r="D3">
        <v>1</v>
      </c>
    </row>
    <row r="4" spans="1:8" x14ac:dyDescent="0.25">
      <c r="A4" t="s">
        <v>248</v>
      </c>
      <c r="B4">
        <v>1</v>
      </c>
      <c r="C4">
        <v>1</v>
      </c>
      <c r="D4">
        <v>1</v>
      </c>
    </row>
    <row r="5" spans="1:8" x14ac:dyDescent="0.25">
      <c r="A5" t="s">
        <v>249</v>
      </c>
      <c r="B5">
        <v>1</v>
      </c>
      <c r="C5">
        <v>1</v>
      </c>
      <c r="D5">
        <v>1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7"/>
  <sheetViews>
    <sheetView workbookViewId="0">
      <selection activeCell="H1" sqref="H1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2" bestFit="1" customWidth="1"/>
    <col min="4" max="4" width="4.8554687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228</v>
      </c>
      <c r="B2">
        <v>3</v>
      </c>
      <c r="C2">
        <v>2.6666666666666665</v>
      </c>
      <c r="D2">
        <v>8</v>
      </c>
    </row>
    <row r="3" spans="1:8" x14ac:dyDescent="0.25">
      <c r="A3" t="s">
        <v>250</v>
      </c>
      <c r="B3">
        <v>1</v>
      </c>
      <c r="C3">
        <v>2</v>
      </c>
      <c r="D3">
        <v>2</v>
      </c>
    </row>
    <row r="4" spans="1:8" x14ac:dyDescent="0.25">
      <c r="A4" t="s">
        <v>229</v>
      </c>
      <c r="B4">
        <v>6</v>
      </c>
      <c r="C4">
        <v>3.3333333333333335</v>
      </c>
      <c r="D4">
        <v>20</v>
      </c>
    </row>
    <row r="5" spans="1:8" x14ac:dyDescent="0.25">
      <c r="A5" t="s">
        <v>251</v>
      </c>
      <c r="B5">
        <v>1</v>
      </c>
      <c r="C5">
        <v>3</v>
      </c>
      <c r="D5">
        <v>3</v>
      </c>
    </row>
    <row r="6" spans="1:8" x14ac:dyDescent="0.25">
      <c r="A6" t="s">
        <v>252</v>
      </c>
      <c r="B6">
        <v>1</v>
      </c>
      <c r="C6">
        <v>2</v>
      </c>
      <c r="D6">
        <v>2</v>
      </c>
    </row>
    <row r="7" spans="1:8" x14ac:dyDescent="0.25">
      <c r="A7" t="s">
        <v>230</v>
      </c>
      <c r="B7">
        <v>7</v>
      </c>
      <c r="C7">
        <v>4.2857142857142856</v>
      </c>
      <c r="D7">
        <v>30</v>
      </c>
    </row>
    <row r="8" spans="1:8" x14ac:dyDescent="0.25">
      <c r="A8" t="s">
        <v>232</v>
      </c>
      <c r="B8">
        <v>2</v>
      </c>
      <c r="C8">
        <v>2</v>
      </c>
      <c r="D8">
        <v>4</v>
      </c>
    </row>
    <row r="9" spans="1:8" x14ac:dyDescent="0.25">
      <c r="A9" t="s">
        <v>253</v>
      </c>
      <c r="B9">
        <v>2</v>
      </c>
      <c r="C9">
        <v>1</v>
      </c>
      <c r="D9">
        <v>2</v>
      </c>
    </row>
    <row r="10" spans="1:8" x14ac:dyDescent="0.25">
      <c r="A10" t="s">
        <v>233</v>
      </c>
      <c r="B10">
        <v>3</v>
      </c>
      <c r="C10">
        <v>2</v>
      </c>
      <c r="D10">
        <v>6</v>
      </c>
    </row>
    <row r="11" spans="1:8" x14ac:dyDescent="0.25">
      <c r="A11" t="s">
        <v>234</v>
      </c>
      <c r="B11">
        <v>7</v>
      </c>
      <c r="C11">
        <v>3.1428571428571428</v>
      </c>
      <c r="D11">
        <v>22</v>
      </c>
    </row>
    <row r="12" spans="1:8" x14ac:dyDescent="0.25">
      <c r="A12" t="s">
        <v>254</v>
      </c>
      <c r="B12">
        <v>1</v>
      </c>
      <c r="C12">
        <v>2</v>
      </c>
      <c r="D12">
        <v>2</v>
      </c>
    </row>
    <row r="13" spans="1:8" x14ac:dyDescent="0.25">
      <c r="A13" t="s">
        <v>235</v>
      </c>
      <c r="B13">
        <v>3</v>
      </c>
      <c r="C13">
        <v>1.6666666666666667</v>
      </c>
      <c r="D13">
        <v>5</v>
      </c>
    </row>
    <row r="14" spans="1:8" x14ac:dyDescent="0.25">
      <c r="A14" t="s">
        <v>255</v>
      </c>
      <c r="B14">
        <v>1</v>
      </c>
      <c r="C14">
        <v>3</v>
      </c>
      <c r="D14">
        <v>3</v>
      </c>
    </row>
    <row r="15" spans="1:8" x14ac:dyDescent="0.25">
      <c r="A15" t="s">
        <v>236</v>
      </c>
      <c r="B15">
        <v>2</v>
      </c>
      <c r="C15">
        <v>4</v>
      </c>
      <c r="D15">
        <v>8</v>
      </c>
    </row>
    <row r="16" spans="1:8" x14ac:dyDescent="0.25">
      <c r="A16" t="s">
        <v>237</v>
      </c>
      <c r="B16">
        <v>9</v>
      </c>
      <c r="C16">
        <v>6.666666666666667</v>
      </c>
      <c r="D16">
        <v>60</v>
      </c>
    </row>
    <row r="17" spans="1:4" x14ac:dyDescent="0.25">
      <c r="A17" t="s">
        <v>256</v>
      </c>
      <c r="B17">
        <v>2</v>
      </c>
      <c r="C17">
        <v>2</v>
      </c>
      <c r="D17">
        <v>4</v>
      </c>
    </row>
    <row r="18" spans="1:4" x14ac:dyDescent="0.25">
      <c r="A18" t="s">
        <v>257</v>
      </c>
      <c r="B18">
        <v>1</v>
      </c>
      <c r="C18">
        <v>2</v>
      </c>
      <c r="D18">
        <v>2</v>
      </c>
    </row>
    <row r="19" spans="1:4" x14ac:dyDescent="0.25">
      <c r="A19" t="s">
        <v>258</v>
      </c>
      <c r="B19">
        <v>1</v>
      </c>
      <c r="C19">
        <v>3</v>
      </c>
      <c r="D19">
        <v>3</v>
      </c>
    </row>
    <row r="20" spans="1:4" x14ac:dyDescent="0.25">
      <c r="A20" t="s">
        <v>259</v>
      </c>
      <c r="B20">
        <v>1</v>
      </c>
      <c r="C20">
        <v>2</v>
      </c>
      <c r="D20">
        <v>2</v>
      </c>
    </row>
    <row r="21" spans="1:4" x14ac:dyDescent="0.25">
      <c r="A21" t="s">
        <v>260</v>
      </c>
      <c r="B21">
        <v>1</v>
      </c>
      <c r="C21">
        <v>2</v>
      </c>
      <c r="D21">
        <v>2</v>
      </c>
    </row>
    <row r="22" spans="1:4" x14ac:dyDescent="0.25">
      <c r="A22" t="s">
        <v>261</v>
      </c>
      <c r="B22">
        <v>1</v>
      </c>
      <c r="C22">
        <v>5</v>
      </c>
      <c r="D22">
        <v>5</v>
      </c>
    </row>
    <row r="23" spans="1:4" x14ac:dyDescent="0.25">
      <c r="A23" t="s">
        <v>238</v>
      </c>
      <c r="B23">
        <v>3</v>
      </c>
      <c r="C23">
        <v>3.6666666666666665</v>
      </c>
      <c r="D23">
        <v>11</v>
      </c>
    </row>
    <row r="24" spans="1:4" x14ac:dyDescent="0.25">
      <c r="A24" t="s">
        <v>262</v>
      </c>
      <c r="B24">
        <v>4</v>
      </c>
      <c r="C24">
        <v>5.25</v>
      </c>
      <c r="D24">
        <v>21</v>
      </c>
    </row>
    <row r="25" spans="1:4" x14ac:dyDescent="0.25">
      <c r="A25" t="s">
        <v>263</v>
      </c>
      <c r="B25">
        <v>11</v>
      </c>
      <c r="C25">
        <v>5</v>
      </c>
      <c r="D25">
        <v>55</v>
      </c>
    </row>
    <row r="26" spans="1:4" x14ac:dyDescent="0.25">
      <c r="A26" t="s">
        <v>264</v>
      </c>
      <c r="B26">
        <v>2</v>
      </c>
      <c r="C26">
        <v>6.5</v>
      </c>
      <c r="D26">
        <v>13</v>
      </c>
    </row>
    <row r="27" spans="1:4" x14ac:dyDescent="0.25">
      <c r="A27" t="s">
        <v>239</v>
      </c>
      <c r="B27">
        <v>1</v>
      </c>
      <c r="C27">
        <v>2</v>
      </c>
      <c r="D27">
        <v>2</v>
      </c>
    </row>
    <row r="28" spans="1:4" x14ac:dyDescent="0.25">
      <c r="A28" t="s">
        <v>240</v>
      </c>
      <c r="B28">
        <v>14</v>
      </c>
      <c r="C28">
        <v>5.2142857142857144</v>
      </c>
      <c r="D28">
        <v>73</v>
      </c>
    </row>
    <row r="29" spans="1:4" x14ac:dyDescent="0.25">
      <c r="A29" t="s">
        <v>265</v>
      </c>
      <c r="B29">
        <v>4</v>
      </c>
      <c r="C29">
        <v>1.75</v>
      </c>
      <c r="D29">
        <v>7</v>
      </c>
    </row>
    <row r="30" spans="1:4" x14ac:dyDescent="0.25">
      <c r="A30" t="s">
        <v>266</v>
      </c>
      <c r="B30">
        <v>1</v>
      </c>
      <c r="C30">
        <v>2</v>
      </c>
      <c r="D30">
        <v>2</v>
      </c>
    </row>
    <row r="31" spans="1:4" x14ac:dyDescent="0.25">
      <c r="A31" t="s">
        <v>267</v>
      </c>
      <c r="B31">
        <v>3</v>
      </c>
      <c r="C31">
        <v>1.6666666666666667</v>
      </c>
      <c r="D31">
        <v>5</v>
      </c>
    </row>
    <row r="32" spans="1:4" x14ac:dyDescent="0.25">
      <c r="A32" t="s">
        <v>268</v>
      </c>
      <c r="B32">
        <v>1</v>
      </c>
      <c r="C32">
        <v>8</v>
      </c>
      <c r="D32">
        <v>8</v>
      </c>
    </row>
    <row r="33" spans="1:4" x14ac:dyDescent="0.25">
      <c r="A33" t="s">
        <v>241</v>
      </c>
      <c r="B33">
        <v>1</v>
      </c>
      <c r="C33">
        <v>2</v>
      </c>
      <c r="D33">
        <v>2</v>
      </c>
    </row>
    <row r="34" spans="1:4" x14ac:dyDescent="0.25">
      <c r="A34" t="s">
        <v>242</v>
      </c>
      <c r="B34">
        <v>6</v>
      </c>
      <c r="C34">
        <v>3.8333333333333335</v>
      </c>
      <c r="D34">
        <v>23</v>
      </c>
    </row>
    <row r="35" spans="1:4" x14ac:dyDescent="0.25">
      <c r="A35" t="s">
        <v>269</v>
      </c>
      <c r="B35">
        <v>1</v>
      </c>
      <c r="C35">
        <v>2</v>
      </c>
      <c r="D35">
        <v>2</v>
      </c>
    </row>
    <row r="36" spans="1:4" x14ac:dyDescent="0.25">
      <c r="A36" t="s">
        <v>270</v>
      </c>
      <c r="B36">
        <v>2</v>
      </c>
      <c r="C36">
        <v>2</v>
      </c>
      <c r="D36">
        <v>4</v>
      </c>
    </row>
    <row r="37" spans="1:4" x14ac:dyDescent="0.25">
      <c r="A37" t="s">
        <v>271</v>
      </c>
      <c r="B37">
        <v>1</v>
      </c>
      <c r="C37">
        <v>2</v>
      </c>
      <c r="D37">
        <v>2</v>
      </c>
    </row>
    <row r="38" spans="1:4" x14ac:dyDescent="0.25">
      <c r="A38" t="s">
        <v>272</v>
      </c>
      <c r="B38">
        <v>1</v>
      </c>
      <c r="C38">
        <v>2</v>
      </c>
      <c r="D38">
        <v>2</v>
      </c>
    </row>
    <row r="39" spans="1:4" x14ac:dyDescent="0.25">
      <c r="A39" t="s">
        <v>273</v>
      </c>
      <c r="B39">
        <v>4</v>
      </c>
      <c r="C39">
        <v>6.5</v>
      </c>
      <c r="D39">
        <v>26</v>
      </c>
    </row>
    <row r="40" spans="1:4" x14ac:dyDescent="0.25">
      <c r="A40" t="s">
        <v>274</v>
      </c>
      <c r="B40">
        <v>9</v>
      </c>
      <c r="C40">
        <v>4.2222222222222223</v>
      </c>
      <c r="D40">
        <v>38</v>
      </c>
    </row>
    <row r="41" spans="1:4" x14ac:dyDescent="0.25">
      <c r="A41" t="s">
        <v>275</v>
      </c>
      <c r="B41">
        <v>1</v>
      </c>
      <c r="C41">
        <v>2</v>
      </c>
      <c r="D41">
        <v>2</v>
      </c>
    </row>
    <row r="42" spans="1:4" x14ac:dyDescent="0.25">
      <c r="A42" t="s">
        <v>276</v>
      </c>
      <c r="B42">
        <v>4</v>
      </c>
      <c r="C42">
        <v>3.25</v>
      </c>
      <c r="D42">
        <v>13</v>
      </c>
    </row>
    <row r="43" spans="1:4" x14ac:dyDescent="0.25">
      <c r="A43" t="s">
        <v>277</v>
      </c>
      <c r="B43">
        <v>1</v>
      </c>
      <c r="C43">
        <v>2</v>
      </c>
      <c r="D43">
        <v>2</v>
      </c>
    </row>
    <row r="44" spans="1:4" x14ac:dyDescent="0.25">
      <c r="A44" t="s">
        <v>243</v>
      </c>
      <c r="B44">
        <v>12</v>
      </c>
      <c r="C44">
        <v>6</v>
      </c>
      <c r="D44">
        <v>72</v>
      </c>
    </row>
    <row r="45" spans="1:4" x14ac:dyDescent="0.25">
      <c r="A45" t="s">
        <v>244</v>
      </c>
      <c r="B45">
        <v>10</v>
      </c>
      <c r="C45">
        <v>2.2000000000000002</v>
      </c>
      <c r="D45">
        <v>22</v>
      </c>
    </row>
    <row r="46" spans="1:4" x14ac:dyDescent="0.25">
      <c r="A46" t="s">
        <v>245</v>
      </c>
      <c r="B46">
        <v>5</v>
      </c>
      <c r="C46">
        <v>4</v>
      </c>
      <c r="D46">
        <v>20</v>
      </c>
    </row>
    <row r="47" spans="1:4" x14ac:dyDescent="0.25">
      <c r="A47" t="s">
        <v>246</v>
      </c>
      <c r="B47">
        <v>5</v>
      </c>
      <c r="C47">
        <v>4</v>
      </c>
      <c r="D47">
        <v>20</v>
      </c>
    </row>
    <row r="48" spans="1:4" x14ac:dyDescent="0.25">
      <c r="A48" t="s">
        <v>278</v>
      </c>
      <c r="B48">
        <v>1</v>
      </c>
      <c r="C48">
        <v>2</v>
      </c>
      <c r="D48">
        <v>2</v>
      </c>
    </row>
    <row r="49" spans="1:4" x14ac:dyDescent="0.25">
      <c r="A49" t="s">
        <v>247</v>
      </c>
      <c r="B49">
        <v>9</v>
      </c>
      <c r="C49">
        <v>3.2222222222222223</v>
      </c>
      <c r="D49">
        <v>29</v>
      </c>
    </row>
    <row r="50" spans="1:4" x14ac:dyDescent="0.25">
      <c r="A50" t="s">
        <v>279</v>
      </c>
      <c r="B50">
        <v>4</v>
      </c>
      <c r="C50">
        <v>1.5</v>
      </c>
      <c r="D50">
        <v>6</v>
      </c>
    </row>
    <row r="51" spans="1:4" x14ac:dyDescent="0.25">
      <c r="A51" t="s">
        <v>248</v>
      </c>
      <c r="B51">
        <v>6</v>
      </c>
      <c r="C51">
        <v>2.3333333333333335</v>
      </c>
      <c r="D51">
        <v>14</v>
      </c>
    </row>
    <row r="52" spans="1:4" x14ac:dyDescent="0.25">
      <c r="A52" t="s">
        <v>280</v>
      </c>
      <c r="B52">
        <v>1</v>
      </c>
      <c r="C52">
        <v>2</v>
      </c>
      <c r="D52">
        <v>2</v>
      </c>
    </row>
    <row r="53" spans="1:4" x14ac:dyDescent="0.25">
      <c r="A53" t="s">
        <v>281</v>
      </c>
      <c r="B53">
        <v>1</v>
      </c>
      <c r="C53">
        <v>1</v>
      </c>
      <c r="D53">
        <v>1</v>
      </c>
    </row>
    <row r="54" spans="1:4" x14ac:dyDescent="0.25">
      <c r="A54" t="s">
        <v>282</v>
      </c>
      <c r="B54">
        <v>1</v>
      </c>
      <c r="C54">
        <v>2</v>
      </c>
      <c r="D54">
        <v>2</v>
      </c>
    </row>
    <row r="55" spans="1:4" x14ac:dyDescent="0.25">
      <c r="A55" t="s">
        <v>283</v>
      </c>
      <c r="B55">
        <v>2</v>
      </c>
      <c r="C55">
        <v>5.5</v>
      </c>
      <c r="D55">
        <v>11</v>
      </c>
    </row>
    <row r="56" spans="1:4" x14ac:dyDescent="0.25">
      <c r="A56" t="s">
        <v>284</v>
      </c>
      <c r="B56">
        <v>2</v>
      </c>
      <c r="C56">
        <v>2.5</v>
      </c>
      <c r="D56">
        <v>5</v>
      </c>
    </row>
    <row r="57" spans="1:4" x14ac:dyDescent="0.25">
      <c r="A57" t="s">
        <v>249</v>
      </c>
      <c r="B57">
        <v>6</v>
      </c>
      <c r="C57">
        <v>2.1666666666666665</v>
      </c>
      <c r="D57">
        <v>13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"/>
  <sheetViews>
    <sheetView workbookViewId="0">
      <selection activeCell="H1" sqref="H1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2" bestFit="1" customWidth="1"/>
    <col min="4" max="4" width="4.8554687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229</v>
      </c>
      <c r="B2">
        <v>1</v>
      </c>
      <c r="C2">
        <v>1</v>
      </c>
      <c r="D2">
        <v>1</v>
      </c>
    </row>
    <row r="3" spans="1:8" x14ac:dyDescent="0.25">
      <c r="A3" t="s">
        <v>252</v>
      </c>
      <c r="B3">
        <v>1</v>
      </c>
      <c r="C3">
        <v>3</v>
      </c>
      <c r="D3">
        <v>3</v>
      </c>
    </row>
    <row r="4" spans="1:8" x14ac:dyDescent="0.25">
      <c r="A4" t="s">
        <v>230</v>
      </c>
      <c r="B4">
        <v>7</v>
      </c>
      <c r="C4">
        <v>1.8571428571428572</v>
      </c>
      <c r="D4">
        <v>13</v>
      </c>
    </row>
    <row r="5" spans="1:8" x14ac:dyDescent="0.25">
      <c r="A5" t="s">
        <v>232</v>
      </c>
      <c r="B5">
        <v>9</v>
      </c>
      <c r="C5">
        <v>2.2222222222222223</v>
      </c>
      <c r="D5">
        <v>20</v>
      </c>
    </row>
    <row r="6" spans="1:8" x14ac:dyDescent="0.25">
      <c r="A6" t="s">
        <v>233</v>
      </c>
      <c r="B6">
        <v>3</v>
      </c>
      <c r="C6">
        <v>2</v>
      </c>
      <c r="D6">
        <v>6</v>
      </c>
    </row>
    <row r="7" spans="1:8" x14ac:dyDescent="0.25">
      <c r="A7" t="s">
        <v>234</v>
      </c>
      <c r="B7">
        <v>5</v>
      </c>
      <c r="C7">
        <v>2.8</v>
      </c>
      <c r="D7">
        <v>14</v>
      </c>
    </row>
    <row r="8" spans="1:8" x14ac:dyDescent="0.25">
      <c r="A8" t="s">
        <v>285</v>
      </c>
      <c r="B8">
        <v>1</v>
      </c>
      <c r="C8">
        <v>3</v>
      </c>
      <c r="D8">
        <v>3</v>
      </c>
    </row>
    <row r="9" spans="1:8" x14ac:dyDescent="0.25">
      <c r="A9" t="s">
        <v>254</v>
      </c>
      <c r="B9">
        <v>1</v>
      </c>
      <c r="C9">
        <v>2</v>
      </c>
      <c r="D9">
        <v>2</v>
      </c>
    </row>
    <row r="10" spans="1:8" x14ac:dyDescent="0.25">
      <c r="A10" t="s">
        <v>235</v>
      </c>
      <c r="B10">
        <v>3</v>
      </c>
      <c r="C10">
        <v>1.3333333333333333</v>
      </c>
      <c r="D10">
        <v>4</v>
      </c>
    </row>
    <row r="11" spans="1:8" x14ac:dyDescent="0.25">
      <c r="A11" t="s">
        <v>237</v>
      </c>
      <c r="B11">
        <v>6</v>
      </c>
      <c r="C11">
        <v>3</v>
      </c>
      <c r="D11">
        <v>18</v>
      </c>
    </row>
    <row r="12" spans="1:8" x14ac:dyDescent="0.25">
      <c r="A12" t="s">
        <v>258</v>
      </c>
      <c r="B12">
        <v>1</v>
      </c>
      <c r="C12">
        <v>2</v>
      </c>
      <c r="D12">
        <v>2</v>
      </c>
    </row>
    <row r="13" spans="1:8" x14ac:dyDescent="0.25">
      <c r="A13" t="s">
        <v>238</v>
      </c>
      <c r="B13">
        <v>2</v>
      </c>
      <c r="C13">
        <v>2.5</v>
      </c>
      <c r="D13">
        <v>5</v>
      </c>
    </row>
    <row r="14" spans="1:8" x14ac:dyDescent="0.25">
      <c r="A14" t="s">
        <v>262</v>
      </c>
      <c r="B14">
        <v>2</v>
      </c>
      <c r="C14">
        <v>2</v>
      </c>
      <c r="D14">
        <v>4</v>
      </c>
    </row>
    <row r="15" spans="1:8" x14ac:dyDescent="0.25">
      <c r="A15" t="s">
        <v>263</v>
      </c>
      <c r="B15">
        <v>6</v>
      </c>
      <c r="C15">
        <v>1.8333333333333333</v>
      </c>
      <c r="D15">
        <v>11</v>
      </c>
    </row>
    <row r="16" spans="1:8" x14ac:dyDescent="0.25">
      <c r="A16" t="s">
        <v>240</v>
      </c>
      <c r="B16">
        <v>8</v>
      </c>
      <c r="C16">
        <v>2</v>
      </c>
      <c r="D16">
        <v>16</v>
      </c>
    </row>
    <row r="17" spans="1:4" x14ac:dyDescent="0.25">
      <c r="A17" t="s">
        <v>265</v>
      </c>
      <c r="B17">
        <v>2</v>
      </c>
      <c r="C17">
        <v>1.5</v>
      </c>
      <c r="D17">
        <v>3</v>
      </c>
    </row>
    <row r="18" spans="1:4" x14ac:dyDescent="0.25">
      <c r="A18" t="s">
        <v>241</v>
      </c>
      <c r="B18">
        <v>2</v>
      </c>
      <c r="C18">
        <v>1.5</v>
      </c>
      <c r="D18">
        <v>3</v>
      </c>
    </row>
    <row r="19" spans="1:4" x14ac:dyDescent="0.25">
      <c r="A19" t="s">
        <v>242</v>
      </c>
      <c r="B19">
        <v>1</v>
      </c>
      <c r="C19">
        <v>1</v>
      </c>
      <c r="D19">
        <v>1</v>
      </c>
    </row>
    <row r="20" spans="1:4" x14ac:dyDescent="0.25">
      <c r="A20" t="s">
        <v>270</v>
      </c>
      <c r="B20">
        <v>1</v>
      </c>
      <c r="C20">
        <v>1</v>
      </c>
      <c r="D20">
        <v>1</v>
      </c>
    </row>
    <row r="21" spans="1:4" x14ac:dyDescent="0.25">
      <c r="A21" t="s">
        <v>273</v>
      </c>
      <c r="B21">
        <v>4</v>
      </c>
      <c r="C21">
        <v>1.5</v>
      </c>
      <c r="D21">
        <v>6</v>
      </c>
    </row>
    <row r="22" spans="1:4" x14ac:dyDescent="0.25">
      <c r="A22" t="s">
        <v>274</v>
      </c>
      <c r="B22">
        <v>7</v>
      </c>
      <c r="C22">
        <v>2</v>
      </c>
      <c r="D22">
        <v>14</v>
      </c>
    </row>
    <row r="23" spans="1:4" x14ac:dyDescent="0.25">
      <c r="A23" t="s">
        <v>276</v>
      </c>
      <c r="B23">
        <v>3</v>
      </c>
      <c r="C23">
        <v>2</v>
      </c>
      <c r="D23">
        <v>6</v>
      </c>
    </row>
    <row r="24" spans="1:4" x14ac:dyDescent="0.25">
      <c r="A24" t="s">
        <v>243</v>
      </c>
      <c r="B24">
        <v>13</v>
      </c>
      <c r="C24">
        <v>2.3846153846153846</v>
      </c>
      <c r="D24">
        <v>31</v>
      </c>
    </row>
    <row r="25" spans="1:4" x14ac:dyDescent="0.25">
      <c r="A25" t="s">
        <v>245</v>
      </c>
      <c r="B25">
        <v>1</v>
      </c>
      <c r="C25">
        <v>1</v>
      </c>
      <c r="D25">
        <v>1</v>
      </c>
    </row>
    <row r="26" spans="1:4" x14ac:dyDescent="0.25">
      <c r="A26" t="s">
        <v>286</v>
      </c>
      <c r="B26">
        <v>1</v>
      </c>
      <c r="C26">
        <v>1</v>
      </c>
      <c r="D26">
        <v>1</v>
      </c>
    </row>
    <row r="27" spans="1:4" x14ac:dyDescent="0.25">
      <c r="A27" t="s">
        <v>287</v>
      </c>
      <c r="B27">
        <v>2</v>
      </c>
      <c r="C27">
        <v>2</v>
      </c>
      <c r="D27">
        <v>4</v>
      </c>
    </row>
    <row r="28" spans="1:4" x14ac:dyDescent="0.25">
      <c r="A28" t="s">
        <v>279</v>
      </c>
      <c r="B28">
        <v>3</v>
      </c>
      <c r="C28">
        <v>2</v>
      </c>
      <c r="D28">
        <v>6</v>
      </c>
    </row>
    <row r="29" spans="1:4" x14ac:dyDescent="0.25">
      <c r="A29" t="s">
        <v>288</v>
      </c>
      <c r="B29">
        <v>1</v>
      </c>
      <c r="C29">
        <v>1</v>
      </c>
      <c r="D29">
        <v>1</v>
      </c>
    </row>
    <row r="30" spans="1:4" x14ac:dyDescent="0.25">
      <c r="A30" t="s">
        <v>283</v>
      </c>
      <c r="B30">
        <v>2</v>
      </c>
      <c r="C30">
        <v>2.5</v>
      </c>
      <c r="D30">
        <v>5</v>
      </c>
    </row>
    <row r="31" spans="1:4" x14ac:dyDescent="0.25">
      <c r="A31" t="s">
        <v>284</v>
      </c>
      <c r="B31">
        <v>3</v>
      </c>
      <c r="C31">
        <v>1.6666666666666667</v>
      </c>
      <c r="D31">
        <v>5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workbookViewId="0">
      <selection activeCell="H1" sqref="H1"/>
    </sheetView>
  </sheetViews>
  <sheetFormatPr defaultRowHeight="15" x14ac:dyDescent="0.25"/>
  <cols>
    <col min="1" max="1" width="24.71093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291</v>
      </c>
      <c r="B2">
        <v>2</v>
      </c>
      <c r="C2">
        <v>1.5</v>
      </c>
      <c r="D2">
        <v>3</v>
      </c>
    </row>
    <row r="3" spans="1:8" x14ac:dyDescent="0.25">
      <c r="A3" t="s">
        <v>230</v>
      </c>
      <c r="B3">
        <v>1</v>
      </c>
      <c r="C3">
        <v>5</v>
      </c>
      <c r="D3">
        <v>5</v>
      </c>
    </row>
    <row r="4" spans="1:8" x14ac:dyDescent="0.25">
      <c r="A4" t="s">
        <v>231</v>
      </c>
      <c r="B4">
        <v>6</v>
      </c>
      <c r="C4">
        <v>2.1666666666666665</v>
      </c>
      <c r="D4">
        <v>13</v>
      </c>
    </row>
    <row r="5" spans="1:8" x14ac:dyDescent="0.25">
      <c r="A5" t="s">
        <v>232</v>
      </c>
      <c r="B5">
        <v>5</v>
      </c>
      <c r="C5">
        <v>2.6</v>
      </c>
      <c r="D5">
        <v>13</v>
      </c>
    </row>
    <row r="6" spans="1:8" x14ac:dyDescent="0.25">
      <c r="A6" t="s">
        <v>233</v>
      </c>
      <c r="B6">
        <v>4</v>
      </c>
      <c r="C6">
        <v>3</v>
      </c>
      <c r="D6">
        <v>12</v>
      </c>
    </row>
    <row r="7" spans="1:8" x14ac:dyDescent="0.25">
      <c r="A7" t="s">
        <v>234</v>
      </c>
      <c r="B7">
        <v>2</v>
      </c>
      <c r="C7">
        <v>3.5</v>
      </c>
      <c r="D7">
        <v>7</v>
      </c>
    </row>
    <row r="8" spans="1:8" x14ac:dyDescent="0.25">
      <c r="A8" t="s">
        <v>292</v>
      </c>
      <c r="B8">
        <v>5</v>
      </c>
      <c r="C8">
        <v>1.6</v>
      </c>
      <c r="D8">
        <v>8</v>
      </c>
    </row>
    <row r="9" spans="1:8" x14ac:dyDescent="0.25">
      <c r="A9" t="s">
        <v>293</v>
      </c>
      <c r="B9">
        <v>3</v>
      </c>
      <c r="C9">
        <v>1.6666666666666667</v>
      </c>
      <c r="D9">
        <v>5</v>
      </c>
    </row>
    <row r="10" spans="1:8" x14ac:dyDescent="0.25">
      <c r="A10" t="s">
        <v>235</v>
      </c>
      <c r="B10">
        <v>1</v>
      </c>
      <c r="C10">
        <v>2</v>
      </c>
      <c r="D10">
        <v>2</v>
      </c>
    </row>
    <row r="11" spans="1:8" x14ac:dyDescent="0.25">
      <c r="A11" t="s">
        <v>237</v>
      </c>
      <c r="B11">
        <v>2</v>
      </c>
      <c r="C11">
        <v>5</v>
      </c>
      <c r="D11">
        <v>10</v>
      </c>
    </row>
    <row r="12" spans="1:8" x14ac:dyDescent="0.25">
      <c r="A12" t="s">
        <v>294</v>
      </c>
      <c r="B12">
        <v>1</v>
      </c>
      <c r="C12">
        <v>2</v>
      </c>
      <c r="D12">
        <v>2</v>
      </c>
    </row>
    <row r="13" spans="1:8" x14ac:dyDescent="0.25">
      <c r="A13" t="s">
        <v>295</v>
      </c>
      <c r="B13">
        <v>3</v>
      </c>
      <c r="C13">
        <v>1.3333333333333333</v>
      </c>
      <c r="D13">
        <v>4</v>
      </c>
    </row>
    <row r="14" spans="1:8" x14ac:dyDescent="0.25">
      <c r="A14" t="s">
        <v>263</v>
      </c>
      <c r="B14">
        <v>11</v>
      </c>
      <c r="C14">
        <v>3.3636363636363638</v>
      </c>
      <c r="D14">
        <v>37</v>
      </c>
    </row>
    <row r="15" spans="1:8" x14ac:dyDescent="0.25">
      <c r="A15" t="s">
        <v>240</v>
      </c>
      <c r="B15">
        <v>11</v>
      </c>
      <c r="C15">
        <v>2.5454545454545454</v>
      </c>
      <c r="D15">
        <v>28</v>
      </c>
    </row>
    <row r="16" spans="1:8" x14ac:dyDescent="0.25">
      <c r="A16" t="s">
        <v>265</v>
      </c>
      <c r="B16">
        <v>4</v>
      </c>
      <c r="C16">
        <v>3.5</v>
      </c>
      <c r="D16">
        <v>14</v>
      </c>
    </row>
    <row r="17" spans="1:4" x14ac:dyDescent="0.25">
      <c r="A17" t="s">
        <v>296</v>
      </c>
      <c r="B17">
        <v>2</v>
      </c>
      <c r="C17">
        <v>3.5</v>
      </c>
      <c r="D17">
        <v>7</v>
      </c>
    </row>
    <row r="18" spans="1:4" x14ac:dyDescent="0.25">
      <c r="A18" t="s">
        <v>297</v>
      </c>
      <c r="B18">
        <v>5</v>
      </c>
      <c r="C18">
        <v>2.2000000000000002</v>
      </c>
      <c r="D18">
        <v>11</v>
      </c>
    </row>
    <row r="19" spans="1:4" x14ac:dyDescent="0.25">
      <c r="A19" t="s">
        <v>298</v>
      </c>
      <c r="B19">
        <v>3</v>
      </c>
      <c r="C19">
        <v>1.6666666666666667</v>
      </c>
      <c r="D19">
        <v>5</v>
      </c>
    </row>
    <row r="20" spans="1:4" x14ac:dyDescent="0.25">
      <c r="A20" t="s">
        <v>267</v>
      </c>
      <c r="B20">
        <v>1</v>
      </c>
      <c r="C20">
        <v>2</v>
      </c>
      <c r="D20">
        <v>2</v>
      </c>
    </row>
    <row r="21" spans="1:4" x14ac:dyDescent="0.25">
      <c r="A21" t="s">
        <v>241</v>
      </c>
      <c r="B21">
        <v>2</v>
      </c>
      <c r="C21">
        <v>3.5</v>
      </c>
      <c r="D21">
        <v>7</v>
      </c>
    </row>
    <row r="22" spans="1:4" x14ac:dyDescent="0.25">
      <c r="A22" t="s">
        <v>299</v>
      </c>
      <c r="B22">
        <v>1</v>
      </c>
      <c r="C22">
        <v>2</v>
      </c>
      <c r="D22">
        <v>2</v>
      </c>
    </row>
    <row r="23" spans="1:4" x14ac:dyDescent="0.25">
      <c r="A23" t="s">
        <v>270</v>
      </c>
      <c r="B23">
        <v>2</v>
      </c>
      <c r="C23">
        <v>3</v>
      </c>
      <c r="D23">
        <v>6</v>
      </c>
    </row>
    <row r="24" spans="1:4" x14ac:dyDescent="0.25">
      <c r="A24" t="s">
        <v>273</v>
      </c>
      <c r="B24">
        <v>1</v>
      </c>
      <c r="C24">
        <v>2</v>
      </c>
      <c r="D24">
        <v>2</v>
      </c>
    </row>
    <row r="25" spans="1:4" x14ac:dyDescent="0.25">
      <c r="A25" t="s">
        <v>274</v>
      </c>
      <c r="B25">
        <v>1</v>
      </c>
      <c r="C25">
        <v>5</v>
      </c>
      <c r="D25">
        <v>5</v>
      </c>
    </row>
    <row r="26" spans="1:4" x14ac:dyDescent="0.25">
      <c r="A26" t="s">
        <v>276</v>
      </c>
      <c r="B26">
        <v>1</v>
      </c>
      <c r="C26">
        <v>3</v>
      </c>
      <c r="D26">
        <v>3</v>
      </c>
    </row>
    <row r="27" spans="1:4" x14ac:dyDescent="0.25">
      <c r="A27" t="s">
        <v>243</v>
      </c>
      <c r="B27">
        <v>9</v>
      </c>
      <c r="C27">
        <v>2.8888888888888888</v>
      </c>
      <c r="D27">
        <v>26</v>
      </c>
    </row>
    <row r="28" spans="1:4" x14ac:dyDescent="0.25">
      <c r="A28" t="s">
        <v>244</v>
      </c>
      <c r="B28">
        <v>2</v>
      </c>
      <c r="C28">
        <v>1.5</v>
      </c>
      <c r="D28">
        <v>3</v>
      </c>
    </row>
    <row r="29" spans="1:4" x14ac:dyDescent="0.25">
      <c r="A29" t="s">
        <v>278</v>
      </c>
      <c r="B29">
        <v>2</v>
      </c>
      <c r="C29">
        <v>1.5</v>
      </c>
      <c r="D29">
        <v>3</v>
      </c>
    </row>
    <row r="30" spans="1:4" x14ac:dyDescent="0.25">
      <c r="A30" t="s">
        <v>247</v>
      </c>
      <c r="B30">
        <v>1</v>
      </c>
      <c r="C30">
        <v>1</v>
      </c>
      <c r="D30">
        <v>1</v>
      </c>
    </row>
    <row r="31" spans="1:4" x14ac:dyDescent="0.25">
      <c r="A31" t="s">
        <v>279</v>
      </c>
      <c r="B31">
        <v>1</v>
      </c>
      <c r="C31">
        <v>1</v>
      </c>
      <c r="D31">
        <v>1</v>
      </c>
    </row>
    <row r="32" spans="1:4" x14ac:dyDescent="0.25">
      <c r="A32" t="s">
        <v>248</v>
      </c>
      <c r="B32">
        <v>1</v>
      </c>
      <c r="C32">
        <v>1</v>
      </c>
      <c r="D32">
        <v>1</v>
      </c>
    </row>
    <row r="33" spans="1:4" x14ac:dyDescent="0.25">
      <c r="A33" t="s">
        <v>284</v>
      </c>
      <c r="B33">
        <v>1</v>
      </c>
      <c r="C33">
        <v>2</v>
      </c>
      <c r="D33">
        <v>2</v>
      </c>
    </row>
    <row r="34" spans="1:4" x14ac:dyDescent="0.25">
      <c r="A34" t="s">
        <v>249</v>
      </c>
      <c r="B34">
        <v>1</v>
      </c>
      <c r="C34">
        <v>1</v>
      </c>
      <c r="D34">
        <v>1</v>
      </c>
    </row>
    <row r="35" spans="1:4" x14ac:dyDescent="0.25">
      <c r="A35" t="s">
        <v>300</v>
      </c>
      <c r="B35">
        <v>3</v>
      </c>
      <c r="C35">
        <v>1.6666666666666667</v>
      </c>
      <c r="D35">
        <v>5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>
      <selection activeCell="E11" sqref="E11"/>
    </sheetView>
  </sheetViews>
  <sheetFormatPr defaultRowHeight="15" x14ac:dyDescent="0.25"/>
  <cols>
    <col min="1" max="1" width="24.71093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301</v>
      </c>
      <c r="B2">
        <v>4</v>
      </c>
      <c r="C2">
        <v>1.5</v>
      </c>
      <c r="D2">
        <v>6</v>
      </c>
    </row>
    <row r="3" spans="1:8" x14ac:dyDescent="0.25">
      <c r="A3" t="s">
        <v>230</v>
      </c>
      <c r="B3">
        <v>3</v>
      </c>
      <c r="C3">
        <v>2</v>
      </c>
      <c r="D3">
        <v>6</v>
      </c>
    </row>
    <row r="4" spans="1:8" x14ac:dyDescent="0.25">
      <c r="A4" t="s">
        <v>231</v>
      </c>
      <c r="B4">
        <v>2</v>
      </c>
      <c r="C4">
        <v>2.5</v>
      </c>
      <c r="D4">
        <v>5</v>
      </c>
    </row>
    <row r="5" spans="1:8" x14ac:dyDescent="0.25">
      <c r="A5" t="s">
        <v>232</v>
      </c>
      <c r="B5">
        <v>3</v>
      </c>
      <c r="C5">
        <v>2.3333333333333335</v>
      </c>
      <c r="D5">
        <v>7</v>
      </c>
    </row>
    <row r="6" spans="1:8" x14ac:dyDescent="0.25">
      <c r="A6" t="s">
        <v>302</v>
      </c>
      <c r="B6">
        <v>1</v>
      </c>
      <c r="C6">
        <v>2</v>
      </c>
      <c r="D6">
        <v>2</v>
      </c>
    </row>
    <row r="7" spans="1:8" x14ac:dyDescent="0.25">
      <c r="A7" t="s">
        <v>234</v>
      </c>
      <c r="B7">
        <v>7</v>
      </c>
      <c r="C7">
        <v>3.7142857142857144</v>
      </c>
      <c r="D7">
        <v>26</v>
      </c>
    </row>
    <row r="8" spans="1:8" x14ac:dyDescent="0.25">
      <c r="A8" t="s">
        <v>292</v>
      </c>
      <c r="B8">
        <v>8</v>
      </c>
      <c r="C8">
        <v>1.125</v>
      </c>
      <c r="D8">
        <v>9</v>
      </c>
    </row>
    <row r="9" spans="1:8" x14ac:dyDescent="0.25">
      <c r="A9" t="s">
        <v>293</v>
      </c>
      <c r="B9">
        <v>4</v>
      </c>
      <c r="C9">
        <v>1.5</v>
      </c>
      <c r="D9">
        <v>6</v>
      </c>
    </row>
    <row r="10" spans="1:8" x14ac:dyDescent="0.25">
      <c r="A10" t="s">
        <v>303</v>
      </c>
      <c r="B10">
        <v>9</v>
      </c>
      <c r="C10">
        <v>1.4444444444444444</v>
      </c>
      <c r="D10">
        <v>13</v>
      </c>
    </row>
    <row r="11" spans="1:8" x14ac:dyDescent="0.25">
      <c r="A11" t="s">
        <v>295</v>
      </c>
      <c r="B11">
        <v>6</v>
      </c>
      <c r="C11">
        <v>3</v>
      </c>
      <c r="D11">
        <v>18</v>
      </c>
    </row>
    <row r="12" spans="1:8" x14ac:dyDescent="0.25">
      <c r="A12" t="s">
        <v>263</v>
      </c>
      <c r="B12">
        <v>11</v>
      </c>
      <c r="C12">
        <v>3.5454545454545454</v>
      </c>
      <c r="D12">
        <v>39</v>
      </c>
    </row>
    <row r="13" spans="1:8" x14ac:dyDescent="0.25">
      <c r="A13" t="s">
        <v>240</v>
      </c>
      <c r="B13">
        <v>8</v>
      </c>
      <c r="C13">
        <v>2.875</v>
      </c>
      <c r="D13">
        <v>23</v>
      </c>
    </row>
    <row r="14" spans="1:8" x14ac:dyDescent="0.25">
      <c r="A14" t="s">
        <v>265</v>
      </c>
      <c r="B14">
        <v>3</v>
      </c>
      <c r="C14">
        <v>1.6666666666666667</v>
      </c>
      <c r="D14">
        <v>5</v>
      </c>
    </row>
    <row r="15" spans="1:8" x14ac:dyDescent="0.25">
      <c r="A15" t="s">
        <v>296</v>
      </c>
      <c r="B15">
        <v>3</v>
      </c>
      <c r="C15">
        <v>3.6666666666666665</v>
      </c>
      <c r="D15">
        <v>11</v>
      </c>
    </row>
    <row r="16" spans="1:8" x14ac:dyDescent="0.25">
      <c r="A16" t="s">
        <v>297</v>
      </c>
      <c r="B16">
        <v>3</v>
      </c>
      <c r="C16">
        <v>3.3333333333333335</v>
      </c>
      <c r="D16">
        <v>10</v>
      </c>
    </row>
    <row r="17" spans="1:4" x14ac:dyDescent="0.25">
      <c r="A17" t="s">
        <v>298</v>
      </c>
      <c r="B17">
        <v>2</v>
      </c>
      <c r="C17">
        <v>2</v>
      </c>
      <c r="D17">
        <v>4</v>
      </c>
    </row>
    <row r="18" spans="1:4" x14ac:dyDescent="0.25">
      <c r="A18" t="s">
        <v>241</v>
      </c>
      <c r="B18">
        <v>1</v>
      </c>
      <c r="C18">
        <v>2</v>
      </c>
      <c r="D18">
        <v>2</v>
      </c>
    </row>
    <row r="19" spans="1:4" x14ac:dyDescent="0.25">
      <c r="A19" t="s">
        <v>273</v>
      </c>
      <c r="B19">
        <v>1</v>
      </c>
      <c r="C19">
        <v>1</v>
      </c>
      <c r="D19">
        <v>1</v>
      </c>
    </row>
    <row r="20" spans="1:4" x14ac:dyDescent="0.25">
      <c r="A20" t="s">
        <v>274</v>
      </c>
      <c r="B20">
        <v>3</v>
      </c>
      <c r="C20">
        <v>2</v>
      </c>
      <c r="D20">
        <v>6</v>
      </c>
    </row>
    <row r="21" spans="1:4" x14ac:dyDescent="0.25">
      <c r="A21" t="s">
        <v>276</v>
      </c>
      <c r="B21">
        <v>5</v>
      </c>
      <c r="C21">
        <v>3</v>
      </c>
      <c r="D21">
        <v>15</v>
      </c>
    </row>
    <row r="22" spans="1:4" x14ac:dyDescent="0.25">
      <c r="A22" t="s">
        <v>278</v>
      </c>
      <c r="B22">
        <v>3</v>
      </c>
      <c r="C22">
        <v>2</v>
      </c>
      <c r="D22">
        <v>6</v>
      </c>
    </row>
    <row r="23" spans="1:4" x14ac:dyDescent="0.25">
      <c r="A23" t="s">
        <v>279</v>
      </c>
      <c r="B23">
        <v>5</v>
      </c>
      <c r="C23">
        <v>3.2</v>
      </c>
      <c r="D23">
        <v>16</v>
      </c>
    </row>
    <row r="24" spans="1:4" x14ac:dyDescent="0.25">
      <c r="A24" t="s">
        <v>300</v>
      </c>
      <c r="B24">
        <v>1</v>
      </c>
      <c r="C24">
        <v>1</v>
      </c>
      <c r="D24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"/>
  <sheetViews>
    <sheetView workbookViewId="0">
      <selection activeCell="H1" sqref="H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231</v>
      </c>
      <c r="B2">
        <v>3</v>
      </c>
      <c r="C2">
        <v>3</v>
      </c>
      <c r="D2">
        <v>9</v>
      </c>
    </row>
    <row r="3" spans="1:8" x14ac:dyDescent="0.25">
      <c r="A3" t="s">
        <v>234</v>
      </c>
      <c r="B3">
        <v>1</v>
      </c>
      <c r="C3">
        <v>2</v>
      </c>
      <c r="D3">
        <v>2</v>
      </c>
    </row>
    <row r="4" spans="1:8" x14ac:dyDescent="0.25">
      <c r="A4" t="s">
        <v>292</v>
      </c>
      <c r="B4">
        <v>4</v>
      </c>
      <c r="C4">
        <v>3.75</v>
      </c>
      <c r="D4">
        <v>15</v>
      </c>
    </row>
    <row r="5" spans="1:8" x14ac:dyDescent="0.25">
      <c r="A5" t="s">
        <v>304</v>
      </c>
      <c r="B5">
        <v>1</v>
      </c>
      <c r="C5">
        <v>2</v>
      </c>
      <c r="D5">
        <v>2</v>
      </c>
    </row>
    <row r="6" spans="1:8" x14ac:dyDescent="0.25">
      <c r="A6" t="s">
        <v>258</v>
      </c>
      <c r="B6">
        <v>1</v>
      </c>
      <c r="C6">
        <v>2</v>
      </c>
      <c r="D6">
        <v>2</v>
      </c>
    </row>
    <row r="7" spans="1:8" x14ac:dyDescent="0.25">
      <c r="A7" t="s">
        <v>303</v>
      </c>
      <c r="B7">
        <v>3</v>
      </c>
      <c r="C7">
        <v>2.6666666666666665</v>
      </c>
      <c r="D7">
        <v>8</v>
      </c>
    </row>
    <row r="8" spans="1:8" x14ac:dyDescent="0.25">
      <c r="A8" t="s">
        <v>263</v>
      </c>
      <c r="B8">
        <v>2</v>
      </c>
      <c r="C8">
        <v>1.5</v>
      </c>
      <c r="D8">
        <v>3</v>
      </c>
    </row>
    <row r="9" spans="1:8" x14ac:dyDescent="0.25">
      <c r="A9" t="s">
        <v>240</v>
      </c>
      <c r="B9">
        <v>9</v>
      </c>
      <c r="C9">
        <v>2.2222222222222223</v>
      </c>
      <c r="D9">
        <v>20</v>
      </c>
    </row>
    <row r="10" spans="1:8" x14ac:dyDescent="0.25">
      <c r="A10" t="s">
        <v>296</v>
      </c>
      <c r="B10">
        <v>2</v>
      </c>
      <c r="C10">
        <v>2</v>
      </c>
      <c r="D10">
        <v>4</v>
      </c>
    </row>
    <row r="11" spans="1:8" x14ac:dyDescent="0.25">
      <c r="A11" t="s">
        <v>273</v>
      </c>
      <c r="B11">
        <v>1</v>
      </c>
      <c r="C11">
        <v>3</v>
      </c>
      <c r="D11">
        <v>3</v>
      </c>
    </row>
    <row r="12" spans="1:8" x14ac:dyDescent="0.25">
      <c r="A12" t="s">
        <v>274</v>
      </c>
      <c r="B12">
        <v>1</v>
      </c>
      <c r="C12">
        <v>2</v>
      </c>
      <c r="D12">
        <v>2</v>
      </c>
    </row>
    <row r="13" spans="1:8" x14ac:dyDescent="0.25">
      <c r="A13" t="s">
        <v>276</v>
      </c>
      <c r="B13">
        <v>2</v>
      </c>
      <c r="C13">
        <v>1.5</v>
      </c>
      <c r="D13">
        <v>3</v>
      </c>
    </row>
    <row r="14" spans="1:8" x14ac:dyDescent="0.25">
      <c r="A14" t="s">
        <v>278</v>
      </c>
      <c r="B14">
        <v>2</v>
      </c>
      <c r="C14">
        <v>3.5</v>
      </c>
      <c r="D14">
        <v>7</v>
      </c>
    </row>
    <row r="15" spans="1:8" x14ac:dyDescent="0.25">
      <c r="A15" t="s">
        <v>279</v>
      </c>
      <c r="B15">
        <v>5</v>
      </c>
      <c r="C15">
        <v>5</v>
      </c>
      <c r="D15">
        <v>25</v>
      </c>
    </row>
    <row r="16" spans="1:8" x14ac:dyDescent="0.25">
      <c r="A16" t="s">
        <v>283</v>
      </c>
      <c r="B16">
        <v>2</v>
      </c>
      <c r="C16">
        <v>1.5</v>
      </c>
      <c r="D16">
        <v>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workbookViewId="0">
      <selection activeCell="C12" sqref="C12"/>
    </sheetView>
  </sheetViews>
  <sheetFormatPr defaultRowHeight="15" x14ac:dyDescent="0.25"/>
  <cols>
    <col min="1" max="1" width="20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230</v>
      </c>
      <c r="B2">
        <v>2</v>
      </c>
      <c r="C2">
        <v>3</v>
      </c>
      <c r="D2">
        <v>6</v>
      </c>
    </row>
    <row r="3" spans="1:8" x14ac:dyDescent="0.25">
      <c r="A3" t="s">
        <v>233</v>
      </c>
      <c r="B3">
        <v>1</v>
      </c>
      <c r="C3">
        <v>2</v>
      </c>
      <c r="D3">
        <v>2</v>
      </c>
    </row>
    <row r="4" spans="1:8" x14ac:dyDescent="0.25">
      <c r="A4" t="s">
        <v>234</v>
      </c>
      <c r="B4">
        <v>9</v>
      </c>
      <c r="C4">
        <v>4.2222222222222223</v>
      </c>
      <c r="D4">
        <v>38</v>
      </c>
    </row>
    <row r="5" spans="1:8" x14ac:dyDescent="0.25">
      <c r="A5" t="s">
        <v>293</v>
      </c>
      <c r="B5">
        <v>1</v>
      </c>
      <c r="C5">
        <v>3</v>
      </c>
      <c r="D5">
        <v>3</v>
      </c>
    </row>
    <row r="6" spans="1:8" x14ac:dyDescent="0.25">
      <c r="A6" t="s">
        <v>258</v>
      </c>
      <c r="B6">
        <v>1</v>
      </c>
      <c r="C6">
        <v>2</v>
      </c>
      <c r="D6">
        <v>2</v>
      </c>
    </row>
    <row r="7" spans="1:8" x14ac:dyDescent="0.25">
      <c r="A7" t="s">
        <v>240</v>
      </c>
      <c r="B7">
        <v>4</v>
      </c>
      <c r="C7">
        <v>4.25</v>
      </c>
      <c r="D7">
        <v>17</v>
      </c>
    </row>
    <row r="8" spans="1:8" x14ac:dyDescent="0.25">
      <c r="A8" t="s">
        <v>305</v>
      </c>
      <c r="B8">
        <v>1</v>
      </c>
      <c r="C8">
        <v>2</v>
      </c>
      <c r="D8">
        <v>2</v>
      </c>
    </row>
    <row r="9" spans="1:8" x14ac:dyDescent="0.25">
      <c r="A9" t="s">
        <v>306</v>
      </c>
      <c r="B9">
        <v>4</v>
      </c>
      <c r="C9">
        <v>2</v>
      </c>
      <c r="D9">
        <v>8</v>
      </c>
    </row>
    <row r="10" spans="1:8" x14ac:dyDescent="0.25">
      <c r="A10" t="s">
        <v>296</v>
      </c>
      <c r="B10">
        <v>4</v>
      </c>
      <c r="C10">
        <v>2.75</v>
      </c>
      <c r="D10">
        <v>11</v>
      </c>
    </row>
    <row r="11" spans="1:8" x14ac:dyDescent="0.25">
      <c r="A11" t="s">
        <v>297</v>
      </c>
      <c r="B11">
        <v>1</v>
      </c>
      <c r="C11">
        <v>2</v>
      </c>
      <c r="D11">
        <v>2</v>
      </c>
    </row>
    <row r="12" spans="1:8" x14ac:dyDescent="0.25">
      <c r="A12" t="s">
        <v>241</v>
      </c>
      <c r="B12">
        <v>1</v>
      </c>
      <c r="C12">
        <v>5</v>
      </c>
      <c r="D12">
        <v>5</v>
      </c>
    </row>
    <row r="13" spans="1:8" x14ac:dyDescent="0.25">
      <c r="A13" t="s">
        <v>274</v>
      </c>
      <c r="B13">
        <v>2</v>
      </c>
      <c r="C13">
        <v>2.5</v>
      </c>
      <c r="D13">
        <v>5</v>
      </c>
    </row>
    <row r="14" spans="1:8" x14ac:dyDescent="0.25">
      <c r="A14" t="s">
        <v>276</v>
      </c>
      <c r="B14">
        <v>2</v>
      </c>
      <c r="C14">
        <v>1.5</v>
      </c>
      <c r="D14">
        <v>3</v>
      </c>
    </row>
    <row r="15" spans="1:8" x14ac:dyDescent="0.25">
      <c r="A15" t="s">
        <v>307</v>
      </c>
      <c r="B15">
        <v>1</v>
      </c>
      <c r="C15">
        <v>2</v>
      </c>
      <c r="D15">
        <v>2</v>
      </c>
    </row>
    <row r="16" spans="1:8" x14ac:dyDescent="0.25">
      <c r="A16" t="s">
        <v>279</v>
      </c>
      <c r="B16">
        <v>2</v>
      </c>
      <c r="C16">
        <v>3.5</v>
      </c>
      <c r="D16">
        <v>7</v>
      </c>
    </row>
    <row r="17" spans="1:4" x14ac:dyDescent="0.25">
      <c r="A17" t="s">
        <v>308</v>
      </c>
      <c r="B17">
        <v>1</v>
      </c>
      <c r="C17">
        <v>2</v>
      </c>
      <c r="D17">
        <v>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workbookViewId="0">
      <selection activeCell="H1" sqref="H1"/>
    </sheetView>
  </sheetViews>
  <sheetFormatPr defaultRowHeight="15" x14ac:dyDescent="0.25"/>
  <cols>
    <col min="1" max="1" width="24.71093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230</v>
      </c>
      <c r="B2">
        <v>1</v>
      </c>
      <c r="C2">
        <v>8</v>
      </c>
      <c r="D2">
        <v>8</v>
      </c>
    </row>
    <row r="3" spans="1:8" x14ac:dyDescent="0.25">
      <c r="A3" t="s">
        <v>309</v>
      </c>
      <c r="B3">
        <v>1</v>
      </c>
      <c r="C3">
        <v>2</v>
      </c>
      <c r="D3">
        <v>2</v>
      </c>
    </row>
    <row r="4" spans="1:8" x14ac:dyDescent="0.25">
      <c r="A4" t="s">
        <v>234</v>
      </c>
      <c r="B4">
        <v>5</v>
      </c>
      <c r="C4">
        <v>1.4</v>
      </c>
      <c r="D4">
        <v>7</v>
      </c>
    </row>
    <row r="5" spans="1:8" x14ac:dyDescent="0.25">
      <c r="A5" t="s">
        <v>310</v>
      </c>
      <c r="B5">
        <v>2</v>
      </c>
      <c r="C5">
        <v>2</v>
      </c>
      <c r="D5">
        <v>4</v>
      </c>
    </row>
    <row r="6" spans="1:8" x14ac:dyDescent="0.25">
      <c r="A6" t="s">
        <v>311</v>
      </c>
      <c r="B6">
        <v>3</v>
      </c>
      <c r="C6">
        <v>2.3333333333333335</v>
      </c>
      <c r="D6">
        <v>7</v>
      </c>
    </row>
    <row r="7" spans="1:8" x14ac:dyDescent="0.25">
      <c r="A7" t="s">
        <v>312</v>
      </c>
      <c r="B7">
        <v>1</v>
      </c>
      <c r="C7">
        <v>2</v>
      </c>
      <c r="D7">
        <v>2</v>
      </c>
    </row>
    <row r="8" spans="1:8" x14ac:dyDescent="0.25">
      <c r="A8" t="s">
        <v>295</v>
      </c>
      <c r="B8">
        <v>2</v>
      </c>
      <c r="C8">
        <v>1.5</v>
      </c>
      <c r="D8">
        <v>3</v>
      </c>
    </row>
    <row r="9" spans="1:8" x14ac:dyDescent="0.25">
      <c r="A9" t="s">
        <v>262</v>
      </c>
      <c r="B9">
        <v>2</v>
      </c>
      <c r="C9">
        <v>3</v>
      </c>
      <c r="D9">
        <v>6</v>
      </c>
    </row>
    <row r="10" spans="1:8" x14ac:dyDescent="0.25">
      <c r="A10" t="s">
        <v>313</v>
      </c>
      <c r="B10">
        <v>3</v>
      </c>
      <c r="C10">
        <v>1.6666666666666667</v>
      </c>
      <c r="D10">
        <v>5</v>
      </c>
    </row>
    <row r="11" spans="1:8" x14ac:dyDescent="0.25">
      <c r="A11" t="s">
        <v>240</v>
      </c>
      <c r="B11">
        <v>4</v>
      </c>
      <c r="C11">
        <v>3.5</v>
      </c>
      <c r="D11">
        <v>14</v>
      </c>
    </row>
    <row r="12" spans="1:8" x14ac:dyDescent="0.25">
      <c r="A12" t="s">
        <v>305</v>
      </c>
      <c r="B12">
        <v>2</v>
      </c>
      <c r="C12">
        <v>3.5</v>
      </c>
      <c r="D12">
        <v>7</v>
      </c>
    </row>
    <row r="13" spans="1:8" x14ac:dyDescent="0.25">
      <c r="A13" t="s">
        <v>314</v>
      </c>
      <c r="B13">
        <v>1</v>
      </c>
      <c r="C13">
        <v>2</v>
      </c>
      <c r="D13">
        <v>2</v>
      </c>
    </row>
    <row r="14" spans="1:8" x14ac:dyDescent="0.25">
      <c r="A14" t="s">
        <v>315</v>
      </c>
      <c r="B14">
        <v>4</v>
      </c>
      <c r="C14">
        <v>2</v>
      </c>
      <c r="D14">
        <v>8</v>
      </c>
    </row>
    <row r="15" spans="1:8" x14ac:dyDescent="0.25">
      <c r="A15" t="s">
        <v>306</v>
      </c>
      <c r="B15">
        <v>5</v>
      </c>
      <c r="C15">
        <v>1.4</v>
      </c>
      <c r="D15">
        <v>7</v>
      </c>
    </row>
    <row r="16" spans="1:8" x14ac:dyDescent="0.25">
      <c r="A16" t="s">
        <v>265</v>
      </c>
      <c r="B16">
        <v>6</v>
      </c>
      <c r="C16">
        <v>1.1666666666666667</v>
      </c>
      <c r="D16">
        <v>7</v>
      </c>
    </row>
    <row r="17" spans="1:4" x14ac:dyDescent="0.25">
      <c r="A17" t="s">
        <v>296</v>
      </c>
      <c r="B17">
        <v>5</v>
      </c>
      <c r="C17">
        <v>1.2</v>
      </c>
      <c r="D17">
        <v>6</v>
      </c>
    </row>
    <row r="18" spans="1:4" x14ac:dyDescent="0.25">
      <c r="A18" t="s">
        <v>297</v>
      </c>
      <c r="B18">
        <v>2</v>
      </c>
      <c r="C18">
        <v>2</v>
      </c>
      <c r="D18">
        <v>4</v>
      </c>
    </row>
    <row r="19" spans="1:4" x14ac:dyDescent="0.25">
      <c r="A19" t="s">
        <v>269</v>
      </c>
      <c r="B19">
        <v>1</v>
      </c>
      <c r="C19">
        <v>3</v>
      </c>
      <c r="D19">
        <v>3</v>
      </c>
    </row>
    <row r="20" spans="1:4" x14ac:dyDescent="0.25">
      <c r="A20" t="s">
        <v>316</v>
      </c>
      <c r="B20">
        <v>3</v>
      </c>
      <c r="C20">
        <v>2</v>
      </c>
      <c r="D20">
        <v>6</v>
      </c>
    </row>
    <row r="21" spans="1:4" x14ac:dyDescent="0.25">
      <c r="A21" t="s">
        <v>270</v>
      </c>
      <c r="B21">
        <v>1</v>
      </c>
      <c r="C21">
        <v>2</v>
      </c>
      <c r="D21">
        <v>2</v>
      </c>
    </row>
    <row r="22" spans="1:4" x14ac:dyDescent="0.25">
      <c r="A22" t="s">
        <v>317</v>
      </c>
      <c r="B22">
        <v>2</v>
      </c>
      <c r="C22">
        <v>2</v>
      </c>
      <c r="D22">
        <v>4</v>
      </c>
    </row>
    <row r="23" spans="1:4" x14ac:dyDescent="0.25">
      <c r="A23" t="s">
        <v>274</v>
      </c>
      <c r="B23">
        <v>3</v>
      </c>
      <c r="C23">
        <v>1.3333333333333333</v>
      </c>
      <c r="D23">
        <v>4</v>
      </c>
    </row>
    <row r="24" spans="1:4" x14ac:dyDescent="0.25">
      <c r="A24" t="s">
        <v>276</v>
      </c>
      <c r="B24">
        <v>8</v>
      </c>
      <c r="C24">
        <v>1.625</v>
      </c>
      <c r="D24">
        <v>13</v>
      </c>
    </row>
    <row r="25" spans="1:4" x14ac:dyDescent="0.25">
      <c r="A25" t="s">
        <v>279</v>
      </c>
      <c r="B25">
        <v>5</v>
      </c>
      <c r="C25">
        <v>2.4</v>
      </c>
      <c r="D25">
        <v>12</v>
      </c>
    </row>
    <row r="26" spans="1:4" x14ac:dyDescent="0.25">
      <c r="A26" t="s">
        <v>318</v>
      </c>
      <c r="B26">
        <v>7</v>
      </c>
      <c r="C26">
        <v>1.5714285714285714</v>
      </c>
      <c r="D26">
        <v>11</v>
      </c>
    </row>
    <row r="27" spans="1:4" x14ac:dyDescent="0.25">
      <c r="A27" t="s">
        <v>319</v>
      </c>
      <c r="B27">
        <v>1</v>
      </c>
      <c r="C27">
        <v>2</v>
      </c>
      <c r="D27">
        <v>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3"/>
  <sheetViews>
    <sheetView workbookViewId="0">
      <selection activeCell="H1" sqref="H1"/>
    </sheetView>
  </sheetViews>
  <sheetFormatPr defaultRowHeight="15" x14ac:dyDescent="0.25"/>
  <cols>
    <col min="1" max="1" width="19.5703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230</v>
      </c>
      <c r="B2">
        <v>3</v>
      </c>
      <c r="C2">
        <v>2.3333333333333335</v>
      </c>
      <c r="D2">
        <v>7</v>
      </c>
    </row>
    <row r="3" spans="1:8" x14ac:dyDescent="0.25">
      <c r="A3" t="s">
        <v>309</v>
      </c>
      <c r="B3">
        <v>3</v>
      </c>
      <c r="C3">
        <v>2</v>
      </c>
      <c r="D3">
        <v>6</v>
      </c>
    </row>
    <row r="4" spans="1:8" x14ac:dyDescent="0.25">
      <c r="A4" t="s">
        <v>302</v>
      </c>
      <c r="B4">
        <v>1</v>
      </c>
      <c r="C4">
        <v>2</v>
      </c>
      <c r="D4">
        <v>2</v>
      </c>
    </row>
    <row r="5" spans="1:8" x14ac:dyDescent="0.25">
      <c r="A5" t="s">
        <v>234</v>
      </c>
      <c r="B5">
        <v>6</v>
      </c>
      <c r="C5">
        <v>1.6666666666666667</v>
      </c>
      <c r="D5">
        <v>10</v>
      </c>
    </row>
    <row r="6" spans="1:8" x14ac:dyDescent="0.25">
      <c r="A6" t="s">
        <v>310</v>
      </c>
      <c r="B6">
        <v>1</v>
      </c>
      <c r="C6">
        <v>2</v>
      </c>
      <c r="D6">
        <v>2</v>
      </c>
    </row>
    <row r="7" spans="1:8" x14ac:dyDescent="0.25">
      <c r="A7" t="s">
        <v>293</v>
      </c>
      <c r="B7">
        <v>1</v>
      </c>
      <c r="C7">
        <v>5</v>
      </c>
      <c r="D7">
        <v>5</v>
      </c>
    </row>
    <row r="8" spans="1:8" x14ac:dyDescent="0.25">
      <c r="A8" t="s">
        <v>311</v>
      </c>
      <c r="B8">
        <v>2</v>
      </c>
      <c r="C8">
        <v>5</v>
      </c>
      <c r="D8">
        <v>10</v>
      </c>
    </row>
    <row r="9" spans="1:8" x14ac:dyDescent="0.25">
      <c r="A9" t="s">
        <v>312</v>
      </c>
      <c r="B9">
        <v>1</v>
      </c>
      <c r="C9">
        <v>2</v>
      </c>
      <c r="D9">
        <v>2</v>
      </c>
    </row>
    <row r="10" spans="1:8" x14ac:dyDescent="0.25">
      <c r="A10" t="s">
        <v>258</v>
      </c>
      <c r="B10">
        <v>5</v>
      </c>
      <c r="C10">
        <v>2.6</v>
      </c>
      <c r="D10">
        <v>13</v>
      </c>
    </row>
    <row r="11" spans="1:8" x14ac:dyDescent="0.25">
      <c r="A11" t="s">
        <v>320</v>
      </c>
      <c r="B11">
        <v>3</v>
      </c>
      <c r="C11">
        <v>2</v>
      </c>
      <c r="D11">
        <v>6</v>
      </c>
    </row>
    <row r="12" spans="1:8" x14ac:dyDescent="0.25">
      <c r="A12" t="s">
        <v>262</v>
      </c>
      <c r="B12">
        <v>4</v>
      </c>
      <c r="C12">
        <v>2.75</v>
      </c>
      <c r="D12">
        <v>11</v>
      </c>
    </row>
    <row r="13" spans="1:8" x14ac:dyDescent="0.25">
      <c r="A13" t="s">
        <v>313</v>
      </c>
      <c r="B13">
        <v>3</v>
      </c>
      <c r="C13">
        <v>2</v>
      </c>
      <c r="D13">
        <v>6</v>
      </c>
    </row>
    <row r="14" spans="1:8" x14ac:dyDescent="0.25">
      <c r="A14" t="s">
        <v>240</v>
      </c>
      <c r="B14">
        <v>4</v>
      </c>
      <c r="C14">
        <v>4.25</v>
      </c>
      <c r="D14">
        <v>17</v>
      </c>
    </row>
    <row r="15" spans="1:8" x14ac:dyDescent="0.25">
      <c r="A15" t="s">
        <v>314</v>
      </c>
      <c r="B15">
        <v>2</v>
      </c>
      <c r="C15">
        <v>1.5</v>
      </c>
      <c r="D15">
        <v>3</v>
      </c>
    </row>
    <row r="16" spans="1:8" x14ac:dyDescent="0.25">
      <c r="A16" t="s">
        <v>306</v>
      </c>
      <c r="B16">
        <v>2</v>
      </c>
      <c r="C16">
        <v>2</v>
      </c>
      <c r="D16">
        <v>4</v>
      </c>
    </row>
    <row r="17" spans="1:4" x14ac:dyDescent="0.25">
      <c r="A17" t="s">
        <v>265</v>
      </c>
      <c r="B17">
        <v>3</v>
      </c>
      <c r="C17">
        <v>1.6666666666666667</v>
      </c>
      <c r="D17">
        <v>5</v>
      </c>
    </row>
    <row r="18" spans="1:4" x14ac:dyDescent="0.25">
      <c r="A18" t="s">
        <v>321</v>
      </c>
      <c r="B18">
        <v>1</v>
      </c>
      <c r="C18">
        <v>3</v>
      </c>
      <c r="D18">
        <v>3</v>
      </c>
    </row>
    <row r="19" spans="1:4" x14ac:dyDescent="0.25">
      <c r="A19" t="s">
        <v>296</v>
      </c>
      <c r="B19">
        <v>2</v>
      </c>
      <c r="C19">
        <v>2</v>
      </c>
      <c r="D19">
        <v>4</v>
      </c>
    </row>
    <row r="20" spans="1:4" x14ac:dyDescent="0.25">
      <c r="A20" t="s">
        <v>297</v>
      </c>
      <c r="B20">
        <v>2</v>
      </c>
      <c r="C20">
        <v>2</v>
      </c>
      <c r="D20">
        <v>4</v>
      </c>
    </row>
    <row r="21" spans="1:4" x14ac:dyDescent="0.25">
      <c r="A21" t="s">
        <v>298</v>
      </c>
      <c r="B21">
        <v>2</v>
      </c>
      <c r="C21">
        <v>2.5</v>
      </c>
      <c r="D21">
        <v>5</v>
      </c>
    </row>
    <row r="22" spans="1:4" x14ac:dyDescent="0.25">
      <c r="A22" t="s">
        <v>269</v>
      </c>
      <c r="B22">
        <v>3</v>
      </c>
      <c r="C22">
        <v>3</v>
      </c>
      <c r="D22">
        <v>9</v>
      </c>
    </row>
    <row r="23" spans="1:4" x14ac:dyDescent="0.25">
      <c r="A23" t="s">
        <v>316</v>
      </c>
      <c r="B23">
        <v>3</v>
      </c>
      <c r="C23">
        <v>2</v>
      </c>
      <c r="D23">
        <v>6</v>
      </c>
    </row>
    <row r="24" spans="1:4" x14ac:dyDescent="0.25">
      <c r="A24" t="s">
        <v>322</v>
      </c>
      <c r="B24">
        <v>3</v>
      </c>
      <c r="C24">
        <v>2</v>
      </c>
      <c r="D24">
        <v>6</v>
      </c>
    </row>
    <row r="25" spans="1:4" x14ac:dyDescent="0.25">
      <c r="A25" t="s">
        <v>270</v>
      </c>
      <c r="B25">
        <v>4</v>
      </c>
      <c r="C25">
        <v>3.75</v>
      </c>
      <c r="D25">
        <v>15</v>
      </c>
    </row>
    <row r="26" spans="1:4" x14ac:dyDescent="0.25">
      <c r="A26" t="s">
        <v>317</v>
      </c>
      <c r="B26">
        <v>2</v>
      </c>
      <c r="C26">
        <v>2</v>
      </c>
      <c r="D26">
        <v>4</v>
      </c>
    </row>
    <row r="27" spans="1:4" x14ac:dyDescent="0.25">
      <c r="A27" t="s">
        <v>274</v>
      </c>
      <c r="B27">
        <v>1</v>
      </c>
      <c r="C27">
        <v>5</v>
      </c>
      <c r="D27">
        <v>5</v>
      </c>
    </row>
    <row r="28" spans="1:4" x14ac:dyDescent="0.25">
      <c r="A28" t="s">
        <v>276</v>
      </c>
      <c r="B28">
        <v>4</v>
      </c>
      <c r="C28">
        <v>1.75</v>
      </c>
      <c r="D28">
        <v>7</v>
      </c>
    </row>
    <row r="29" spans="1:4" x14ac:dyDescent="0.25">
      <c r="A29" t="s">
        <v>278</v>
      </c>
      <c r="B29">
        <v>2</v>
      </c>
      <c r="C29">
        <v>2.5</v>
      </c>
      <c r="D29">
        <v>5</v>
      </c>
    </row>
    <row r="30" spans="1:4" x14ac:dyDescent="0.25">
      <c r="A30" t="s">
        <v>279</v>
      </c>
      <c r="B30">
        <v>5</v>
      </c>
      <c r="C30">
        <v>1.6</v>
      </c>
      <c r="D30">
        <v>8</v>
      </c>
    </row>
    <row r="31" spans="1:4" x14ac:dyDescent="0.25">
      <c r="A31" t="s">
        <v>318</v>
      </c>
      <c r="B31">
        <v>1</v>
      </c>
      <c r="C31">
        <v>1</v>
      </c>
      <c r="D31">
        <v>1</v>
      </c>
    </row>
    <row r="32" spans="1:4" x14ac:dyDescent="0.25">
      <c r="A32" t="s">
        <v>280</v>
      </c>
      <c r="B32">
        <v>1</v>
      </c>
      <c r="C32">
        <v>3</v>
      </c>
      <c r="D32">
        <v>3</v>
      </c>
    </row>
    <row r="33" spans="1:4" x14ac:dyDescent="0.25">
      <c r="A33" t="s">
        <v>319</v>
      </c>
      <c r="B33">
        <v>3</v>
      </c>
      <c r="C33">
        <v>1.6666666666666667</v>
      </c>
      <c r="D33">
        <v>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A12" sqref="A12"/>
    </sheetView>
  </sheetViews>
  <sheetFormatPr defaultRowHeight="15" x14ac:dyDescent="0.25"/>
  <cols>
    <col min="1" max="1" width="15.8554687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234</v>
      </c>
      <c r="B2">
        <v>2</v>
      </c>
      <c r="C2">
        <v>2.5</v>
      </c>
      <c r="D2">
        <v>5</v>
      </c>
    </row>
    <row r="3" spans="1:8" x14ac:dyDescent="0.25">
      <c r="A3" t="s">
        <v>262</v>
      </c>
      <c r="B3">
        <v>1</v>
      </c>
      <c r="C3">
        <v>5</v>
      </c>
      <c r="D3">
        <v>5</v>
      </c>
    </row>
    <row r="4" spans="1:8" x14ac:dyDescent="0.25">
      <c r="A4" t="s">
        <v>240</v>
      </c>
      <c r="B4">
        <v>1</v>
      </c>
      <c r="C4">
        <v>8</v>
      </c>
      <c r="D4">
        <v>8</v>
      </c>
    </row>
    <row r="5" spans="1:8" x14ac:dyDescent="0.25">
      <c r="A5" t="s">
        <v>323</v>
      </c>
      <c r="B5">
        <v>1</v>
      </c>
      <c r="C5">
        <v>2</v>
      </c>
      <c r="D5">
        <v>2</v>
      </c>
    </row>
    <row r="6" spans="1:8" x14ac:dyDescent="0.25">
      <c r="A6" t="s">
        <v>241</v>
      </c>
      <c r="B6">
        <v>1</v>
      </c>
      <c r="C6">
        <v>2</v>
      </c>
      <c r="D6">
        <v>2</v>
      </c>
    </row>
    <row r="7" spans="1:8" x14ac:dyDescent="0.25">
      <c r="A7" t="s">
        <v>324</v>
      </c>
      <c r="B7">
        <v>2</v>
      </c>
      <c r="C7">
        <v>2</v>
      </c>
      <c r="D7">
        <v>4</v>
      </c>
    </row>
    <row r="8" spans="1:8" x14ac:dyDescent="0.25">
      <c r="A8" t="s">
        <v>278</v>
      </c>
      <c r="B8">
        <v>1</v>
      </c>
      <c r="C8">
        <v>2</v>
      </c>
      <c r="D8">
        <v>2</v>
      </c>
    </row>
    <row r="9" spans="1:8" x14ac:dyDescent="0.25">
      <c r="A9" t="s">
        <v>279</v>
      </c>
      <c r="B9">
        <v>2</v>
      </c>
      <c r="C9">
        <v>2.5</v>
      </c>
      <c r="D9">
        <v>5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selection activeCell="D24" sqref="D24"/>
    </sheetView>
  </sheetViews>
  <sheetFormatPr defaultRowHeight="15" x14ac:dyDescent="0.25"/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325</v>
      </c>
      <c r="B2">
        <v>1</v>
      </c>
      <c r="C2">
        <v>2</v>
      </c>
      <c r="D2">
        <v>2</v>
      </c>
    </row>
    <row r="3" spans="1:8" x14ac:dyDescent="0.25">
      <c r="A3" t="s">
        <v>326</v>
      </c>
      <c r="B3">
        <v>1</v>
      </c>
      <c r="C3">
        <v>2</v>
      </c>
      <c r="D3">
        <v>2</v>
      </c>
    </row>
    <row r="4" spans="1:8" x14ac:dyDescent="0.25">
      <c r="A4" t="s">
        <v>330</v>
      </c>
      <c r="B4">
        <v>3</v>
      </c>
      <c r="C4">
        <v>2.6666666666666665</v>
      </c>
      <c r="D4">
        <v>8</v>
      </c>
    </row>
    <row r="5" spans="1:8" x14ac:dyDescent="0.25">
      <c r="A5" t="s">
        <v>359</v>
      </c>
      <c r="B5">
        <v>4</v>
      </c>
      <c r="C5">
        <v>2</v>
      </c>
      <c r="D5">
        <v>8</v>
      </c>
    </row>
    <row r="6" spans="1:8" x14ac:dyDescent="0.25">
      <c r="A6" t="s">
        <v>145</v>
      </c>
      <c r="B6">
        <v>2</v>
      </c>
      <c r="C6">
        <v>2.5</v>
      </c>
      <c r="D6">
        <v>5</v>
      </c>
    </row>
    <row r="7" spans="1:8" x14ac:dyDescent="0.25">
      <c r="A7" t="s">
        <v>334</v>
      </c>
      <c r="B7">
        <v>3</v>
      </c>
      <c r="C7">
        <v>2.3333333333333335</v>
      </c>
      <c r="D7">
        <v>7</v>
      </c>
    </row>
    <row r="8" spans="1:8" x14ac:dyDescent="0.25">
      <c r="A8" t="s">
        <v>344</v>
      </c>
      <c r="B8">
        <v>1</v>
      </c>
      <c r="C8">
        <v>2</v>
      </c>
      <c r="D8">
        <v>2</v>
      </c>
    </row>
    <row r="9" spans="1:8" x14ac:dyDescent="0.25">
      <c r="A9" t="s">
        <v>159</v>
      </c>
      <c r="B9">
        <v>1</v>
      </c>
      <c r="C9">
        <v>2</v>
      </c>
      <c r="D9">
        <v>2</v>
      </c>
    </row>
    <row r="10" spans="1:8" x14ac:dyDescent="0.25">
      <c r="A10" t="s">
        <v>360</v>
      </c>
      <c r="B10">
        <v>1</v>
      </c>
      <c r="C10">
        <v>2</v>
      </c>
      <c r="D10">
        <v>2</v>
      </c>
    </row>
    <row r="11" spans="1:8" x14ac:dyDescent="0.25">
      <c r="A11" t="s">
        <v>361</v>
      </c>
      <c r="B11">
        <v>1</v>
      </c>
      <c r="C11">
        <v>2</v>
      </c>
      <c r="D11">
        <v>2</v>
      </c>
    </row>
    <row r="12" spans="1:8" x14ac:dyDescent="0.25">
      <c r="A12" t="s">
        <v>225</v>
      </c>
      <c r="B12">
        <v>2</v>
      </c>
      <c r="C12">
        <v>4</v>
      </c>
      <c r="D12">
        <v>8</v>
      </c>
    </row>
    <row r="13" spans="1:8" x14ac:dyDescent="0.25">
      <c r="A13" t="s">
        <v>338</v>
      </c>
      <c r="B13">
        <v>1</v>
      </c>
      <c r="C13">
        <v>5</v>
      </c>
      <c r="D13">
        <v>5</v>
      </c>
    </row>
    <row r="14" spans="1:8" x14ac:dyDescent="0.25">
      <c r="A14" t="s">
        <v>159</v>
      </c>
      <c r="B14">
        <v>3</v>
      </c>
      <c r="C14">
        <v>1.3333333333333333</v>
      </c>
      <c r="D14">
        <v>4</v>
      </c>
    </row>
    <row r="15" spans="1:8" x14ac:dyDescent="0.25">
      <c r="A15" t="s">
        <v>345</v>
      </c>
      <c r="B15">
        <v>1</v>
      </c>
      <c r="C15">
        <v>3</v>
      </c>
      <c r="D15">
        <v>3</v>
      </c>
    </row>
    <row r="16" spans="1:8" x14ac:dyDescent="0.25">
      <c r="A16" t="s">
        <v>225</v>
      </c>
      <c r="B16">
        <v>12</v>
      </c>
      <c r="C16">
        <v>2.8333333333333335</v>
      </c>
      <c r="D16">
        <v>34</v>
      </c>
    </row>
    <row r="17" spans="1:4" x14ac:dyDescent="0.25">
      <c r="A17" t="s">
        <v>180</v>
      </c>
      <c r="B17">
        <v>1</v>
      </c>
      <c r="C17">
        <v>1</v>
      </c>
      <c r="D17">
        <v>1</v>
      </c>
    </row>
    <row r="18" spans="1:4" x14ac:dyDescent="0.25">
      <c r="A18" t="s">
        <v>346</v>
      </c>
      <c r="B18">
        <v>6</v>
      </c>
      <c r="C18">
        <v>3</v>
      </c>
      <c r="D18">
        <v>18</v>
      </c>
    </row>
    <row r="19" spans="1:4" x14ac:dyDescent="0.25">
      <c r="A19" t="s">
        <v>341</v>
      </c>
      <c r="B19">
        <v>1</v>
      </c>
      <c r="C19">
        <v>3</v>
      </c>
      <c r="D19">
        <v>3</v>
      </c>
    </row>
    <row r="20" spans="1:4" x14ac:dyDescent="0.25">
      <c r="A20" t="s">
        <v>342</v>
      </c>
      <c r="B20">
        <v>1</v>
      </c>
      <c r="C20">
        <v>2</v>
      </c>
      <c r="D20">
        <v>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topLeftCell="A10" workbookViewId="0"/>
  </sheetViews>
  <sheetFormatPr defaultRowHeight="15" x14ac:dyDescent="0.25"/>
  <cols>
    <col min="1" max="1" width="15.855468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347</v>
      </c>
      <c r="B2">
        <v>1</v>
      </c>
      <c r="C2">
        <v>1</v>
      </c>
      <c r="D2">
        <v>1</v>
      </c>
    </row>
    <row r="3" spans="1:8" x14ac:dyDescent="0.25">
      <c r="A3" t="s">
        <v>348</v>
      </c>
      <c r="B3">
        <v>1</v>
      </c>
      <c r="C3">
        <v>3</v>
      </c>
      <c r="D3">
        <v>3</v>
      </c>
    </row>
    <row r="4" spans="1:8" x14ac:dyDescent="0.25">
      <c r="A4" t="s">
        <v>234</v>
      </c>
      <c r="B4">
        <v>5</v>
      </c>
      <c r="C4">
        <v>2.8</v>
      </c>
      <c r="D4">
        <v>14</v>
      </c>
    </row>
    <row r="5" spans="1:8" x14ac:dyDescent="0.25">
      <c r="A5" t="s">
        <v>349</v>
      </c>
      <c r="B5">
        <v>1</v>
      </c>
      <c r="C5">
        <v>2</v>
      </c>
      <c r="D5">
        <v>2</v>
      </c>
    </row>
    <row r="6" spans="1:8" x14ac:dyDescent="0.25">
      <c r="A6" t="s">
        <v>350</v>
      </c>
      <c r="B6">
        <v>3</v>
      </c>
      <c r="C6">
        <v>2.3333333333333335</v>
      </c>
      <c r="D6">
        <v>7</v>
      </c>
    </row>
    <row r="7" spans="1:8" x14ac:dyDescent="0.25">
      <c r="A7" t="s">
        <v>351</v>
      </c>
      <c r="B7">
        <v>4</v>
      </c>
      <c r="C7">
        <v>1.75</v>
      </c>
      <c r="D7">
        <v>7</v>
      </c>
    </row>
    <row r="8" spans="1:8" x14ac:dyDescent="0.25">
      <c r="A8" t="s">
        <v>258</v>
      </c>
      <c r="B8">
        <v>1</v>
      </c>
      <c r="C8">
        <v>2</v>
      </c>
      <c r="D8">
        <v>2</v>
      </c>
    </row>
    <row r="9" spans="1:8" x14ac:dyDescent="0.25">
      <c r="A9" t="s">
        <v>352</v>
      </c>
      <c r="B9">
        <v>1</v>
      </c>
      <c r="C9">
        <v>2</v>
      </c>
      <c r="D9">
        <v>2</v>
      </c>
    </row>
    <row r="10" spans="1:8" x14ac:dyDescent="0.25">
      <c r="A10" t="s">
        <v>264</v>
      </c>
      <c r="B10">
        <v>2</v>
      </c>
      <c r="C10">
        <v>2</v>
      </c>
      <c r="D10">
        <v>4</v>
      </c>
    </row>
    <row r="11" spans="1:8" x14ac:dyDescent="0.25">
      <c r="A11" t="s">
        <v>240</v>
      </c>
      <c r="B11">
        <v>6</v>
      </c>
      <c r="C11">
        <v>3</v>
      </c>
      <c r="D11">
        <v>18</v>
      </c>
    </row>
    <row r="12" spans="1:8" x14ac:dyDescent="0.25">
      <c r="A12" t="s">
        <v>323</v>
      </c>
      <c r="B12">
        <v>2</v>
      </c>
      <c r="C12">
        <v>2</v>
      </c>
      <c r="D12">
        <v>4</v>
      </c>
    </row>
    <row r="13" spans="1:8" x14ac:dyDescent="0.25">
      <c r="A13" t="s">
        <v>306</v>
      </c>
      <c r="B13">
        <v>1</v>
      </c>
      <c r="C13">
        <v>1</v>
      </c>
      <c r="D13">
        <v>1</v>
      </c>
    </row>
    <row r="14" spans="1:8" x14ac:dyDescent="0.25">
      <c r="A14" t="s">
        <v>321</v>
      </c>
      <c r="B14">
        <v>1</v>
      </c>
      <c r="C14">
        <v>3</v>
      </c>
      <c r="D14">
        <v>3</v>
      </c>
    </row>
    <row r="15" spans="1:8" x14ac:dyDescent="0.25">
      <c r="A15" t="s">
        <v>353</v>
      </c>
      <c r="B15">
        <v>1</v>
      </c>
      <c r="C15">
        <v>3</v>
      </c>
      <c r="D15">
        <v>3</v>
      </c>
    </row>
    <row r="16" spans="1:8" x14ac:dyDescent="0.25">
      <c r="A16" t="s">
        <v>241</v>
      </c>
      <c r="B16">
        <v>2</v>
      </c>
      <c r="C16">
        <v>6.5</v>
      </c>
      <c r="D16">
        <v>13</v>
      </c>
    </row>
    <row r="17" spans="1:4" x14ac:dyDescent="0.25">
      <c r="A17" t="s">
        <v>316</v>
      </c>
      <c r="B17">
        <v>4</v>
      </c>
      <c r="C17">
        <v>2</v>
      </c>
      <c r="D17">
        <v>8</v>
      </c>
    </row>
    <row r="18" spans="1:4" x14ac:dyDescent="0.25">
      <c r="A18" t="s">
        <v>354</v>
      </c>
      <c r="B18">
        <v>2</v>
      </c>
      <c r="C18">
        <v>1</v>
      </c>
      <c r="D18">
        <v>2</v>
      </c>
    </row>
    <row r="19" spans="1:4" x14ac:dyDescent="0.25">
      <c r="A19" t="s">
        <v>270</v>
      </c>
      <c r="B19">
        <v>1</v>
      </c>
      <c r="C19">
        <v>3</v>
      </c>
      <c r="D19">
        <v>3</v>
      </c>
    </row>
    <row r="20" spans="1:4" x14ac:dyDescent="0.25">
      <c r="A20" t="s">
        <v>274</v>
      </c>
      <c r="B20">
        <v>1</v>
      </c>
      <c r="C20">
        <v>8</v>
      </c>
      <c r="D20">
        <v>8</v>
      </c>
    </row>
    <row r="21" spans="1:4" x14ac:dyDescent="0.25">
      <c r="A21" t="s">
        <v>276</v>
      </c>
      <c r="B21">
        <v>9</v>
      </c>
      <c r="C21">
        <v>1.5555555555555556</v>
      </c>
      <c r="D21">
        <v>14</v>
      </c>
    </row>
    <row r="22" spans="1:4" x14ac:dyDescent="0.25">
      <c r="A22" t="s">
        <v>355</v>
      </c>
      <c r="B22">
        <v>3</v>
      </c>
      <c r="C22">
        <v>1.3333333333333333</v>
      </c>
      <c r="D22">
        <v>4</v>
      </c>
    </row>
    <row r="23" spans="1:4" x14ac:dyDescent="0.25">
      <c r="A23" t="s">
        <v>324</v>
      </c>
      <c r="B23">
        <v>2</v>
      </c>
      <c r="C23">
        <v>6.5</v>
      </c>
      <c r="D23">
        <v>13</v>
      </c>
    </row>
    <row r="24" spans="1:4" x14ac:dyDescent="0.25">
      <c r="A24" t="s">
        <v>278</v>
      </c>
      <c r="B24">
        <v>1</v>
      </c>
      <c r="C24">
        <v>5</v>
      </c>
      <c r="D24">
        <v>5</v>
      </c>
    </row>
    <row r="25" spans="1:4" x14ac:dyDescent="0.25">
      <c r="A25" t="s">
        <v>307</v>
      </c>
      <c r="B25">
        <v>1</v>
      </c>
      <c r="C25">
        <v>3</v>
      </c>
      <c r="D25">
        <v>3</v>
      </c>
    </row>
    <row r="26" spans="1:4" x14ac:dyDescent="0.25">
      <c r="A26" t="s">
        <v>279</v>
      </c>
      <c r="B26">
        <v>12</v>
      </c>
      <c r="C26">
        <v>2.6666666666666665</v>
      </c>
      <c r="D26">
        <v>32</v>
      </c>
    </row>
    <row r="27" spans="1:4" x14ac:dyDescent="0.25">
      <c r="A27" t="s">
        <v>356</v>
      </c>
      <c r="B27">
        <v>1</v>
      </c>
      <c r="C27">
        <v>3</v>
      </c>
      <c r="D27">
        <v>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tabSelected="1" topLeftCell="H1" workbookViewId="0">
      <selection activeCell="I19" sqref="I19"/>
    </sheetView>
  </sheetViews>
  <sheetFormatPr defaultRowHeight="15" x14ac:dyDescent="0.25"/>
  <cols>
    <col min="1" max="1" width="16.8554687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36</v>
      </c>
      <c r="B1" t="s">
        <v>45</v>
      </c>
      <c r="C1" t="s">
        <v>46</v>
      </c>
      <c r="D1" t="s">
        <v>47</v>
      </c>
      <c r="H1" s="11" t="str">
        <f>HYPERLINK("#'Summary'!A1","Summary Page")</f>
        <v>Summary Page</v>
      </c>
    </row>
    <row r="2" spans="1:8" x14ac:dyDescent="0.25">
      <c r="A2" t="s">
        <v>357</v>
      </c>
      <c r="B2">
        <v>3</v>
      </c>
      <c r="C2">
        <v>3.3333333333333335</v>
      </c>
      <c r="D2">
        <v>10</v>
      </c>
      <c r="H2" t="s">
        <v>364</v>
      </c>
    </row>
    <row r="3" spans="1:8" x14ac:dyDescent="0.25">
      <c r="A3" t="s">
        <v>309</v>
      </c>
      <c r="B3">
        <v>1</v>
      </c>
      <c r="C3">
        <v>2</v>
      </c>
      <c r="D3">
        <v>2</v>
      </c>
      <c r="H3" t="s">
        <v>365</v>
      </c>
    </row>
    <row r="4" spans="1:8" x14ac:dyDescent="0.25">
      <c r="A4" t="s">
        <v>234</v>
      </c>
      <c r="B4">
        <v>3</v>
      </c>
      <c r="C4">
        <v>2</v>
      </c>
      <c r="D4">
        <v>6</v>
      </c>
    </row>
    <row r="5" spans="1:8" x14ac:dyDescent="0.25">
      <c r="A5" t="s">
        <v>310</v>
      </c>
      <c r="B5">
        <v>1</v>
      </c>
      <c r="C5">
        <v>2</v>
      </c>
      <c r="D5">
        <v>2</v>
      </c>
      <c r="H5" t="s">
        <v>366</v>
      </c>
    </row>
    <row r="6" spans="1:8" x14ac:dyDescent="0.25">
      <c r="A6" t="s">
        <v>350</v>
      </c>
      <c r="B6">
        <v>2</v>
      </c>
      <c r="C6">
        <v>1.5</v>
      </c>
      <c r="D6">
        <v>3</v>
      </c>
      <c r="H6" t="s">
        <v>367</v>
      </c>
    </row>
    <row r="7" spans="1:8" x14ac:dyDescent="0.25">
      <c r="A7" t="s">
        <v>351</v>
      </c>
      <c r="B7">
        <v>3</v>
      </c>
      <c r="C7">
        <v>2</v>
      </c>
      <c r="D7">
        <v>6</v>
      </c>
      <c r="H7" t="s">
        <v>368</v>
      </c>
    </row>
    <row r="8" spans="1:8" x14ac:dyDescent="0.25">
      <c r="A8" t="s">
        <v>352</v>
      </c>
      <c r="B8">
        <v>1</v>
      </c>
      <c r="C8">
        <v>5</v>
      </c>
      <c r="D8">
        <v>5</v>
      </c>
      <c r="H8" t="s">
        <v>369</v>
      </c>
    </row>
    <row r="9" spans="1:8" x14ac:dyDescent="0.25">
      <c r="A9" t="s">
        <v>240</v>
      </c>
      <c r="B9">
        <v>4</v>
      </c>
      <c r="C9">
        <v>2.25</v>
      </c>
      <c r="D9">
        <v>9</v>
      </c>
      <c r="H9" t="s">
        <v>370</v>
      </c>
    </row>
    <row r="10" spans="1:8" x14ac:dyDescent="0.25">
      <c r="A10" t="s">
        <v>323</v>
      </c>
      <c r="B10">
        <v>1</v>
      </c>
      <c r="C10">
        <v>2</v>
      </c>
      <c r="D10">
        <v>2</v>
      </c>
      <c r="H10" t="s">
        <v>371</v>
      </c>
    </row>
    <row r="11" spans="1:8" x14ac:dyDescent="0.25">
      <c r="A11" t="s">
        <v>321</v>
      </c>
      <c r="B11">
        <v>2</v>
      </c>
      <c r="C11">
        <v>5</v>
      </c>
      <c r="D11">
        <v>10</v>
      </c>
      <c r="H11" t="s">
        <v>372</v>
      </c>
    </row>
    <row r="12" spans="1:8" x14ac:dyDescent="0.25">
      <c r="A12" t="s">
        <v>353</v>
      </c>
      <c r="B12">
        <v>1</v>
      </c>
      <c r="C12">
        <v>5</v>
      </c>
      <c r="D12">
        <v>5</v>
      </c>
      <c r="H12" t="s">
        <v>373</v>
      </c>
    </row>
    <row r="13" spans="1:8" x14ac:dyDescent="0.25">
      <c r="A13" t="s">
        <v>354</v>
      </c>
      <c r="B13">
        <v>1</v>
      </c>
      <c r="C13">
        <v>1</v>
      </c>
      <c r="D13">
        <v>1</v>
      </c>
      <c r="H13" t="s">
        <v>374</v>
      </c>
    </row>
    <row r="14" spans="1:8" x14ac:dyDescent="0.25">
      <c r="A14" t="s">
        <v>270</v>
      </c>
      <c r="B14">
        <v>1</v>
      </c>
      <c r="C14">
        <v>3</v>
      </c>
      <c r="D14">
        <v>3</v>
      </c>
      <c r="H14" t="s">
        <v>375</v>
      </c>
    </row>
    <row r="15" spans="1:8" x14ac:dyDescent="0.25">
      <c r="A15" t="s">
        <v>355</v>
      </c>
      <c r="B15">
        <v>1</v>
      </c>
      <c r="C15">
        <v>3</v>
      </c>
      <c r="D15">
        <v>3</v>
      </c>
      <c r="H15" t="s">
        <v>376</v>
      </c>
    </row>
    <row r="16" spans="1:8" x14ac:dyDescent="0.25">
      <c r="A16" t="s">
        <v>358</v>
      </c>
      <c r="B16">
        <v>2</v>
      </c>
      <c r="C16">
        <v>6.5</v>
      </c>
      <c r="D16">
        <v>13</v>
      </c>
    </row>
    <row r="17" spans="1:4" x14ac:dyDescent="0.25">
      <c r="A17" t="s">
        <v>307</v>
      </c>
      <c r="B17">
        <v>2</v>
      </c>
      <c r="C17">
        <v>4</v>
      </c>
      <c r="D17">
        <v>8</v>
      </c>
    </row>
    <row r="18" spans="1:4" x14ac:dyDescent="0.25">
      <c r="A18" t="s">
        <v>279</v>
      </c>
      <c r="B18">
        <v>9</v>
      </c>
      <c r="C18">
        <v>4.5555555555555554</v>
      </c>
      <c r="D18">
        <v>41</v>
      </c>
    </row>
    <row r="19" spans="1:4" x14ac:dyDescent="0.25">
      <c r="A19" t="s">
        <v>318</v>
      </c>
      <c r="B19">
        <v>2</v>
      </c>
      <c r="C19">
        <v>2</v>
      </c>
      <c r="D19">
        <v>4</v>
      </c>
    </row>
    <row r="20" spans="1:4" x14ac:dyDescent="0.25">
      <c r="A20" t="s">
        <v>356</v>
      </c>
      <c r="B20">
        <v>2</v>
      </c>
      <c r="C20">
        <v>4</v>
      </c>
      <c r="D20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74</vt:i4>
      </vt:variant>
    </vt:vector>
  </HeadingPairs>
  <TitlesOfParts>
    <vt:vector size="74" baseType="lpstr">
      <vt:lpstr>Template</vt:lpstr>
      <vt:lpstr>Summary</vt:lpstr>
      <vt:lpstr>Accept1309</vt:lpstr>
      <vt:lpstr>Accept1310</vt:lpstr>
      <vt:lpstr>Accept1311</vt:lpstr>
      <vt:lpstr>Accept1312</vt:lpstr>
      <vt:lpstr>Accept1313</vt:lpstr>
      <vt:lpstr>Accept1401</vt:lpstr>
      <vt:lpstr>Accept1402</vt:lpstr>
      <vt:lpstr>Accept1403</vt:lpstr>
      <vt:lpstr>Accept1404</vt:lpstr>
      <vt:lpstr>Accept1405</vt:lpstr>
      <vt:lpstr>Accept1406</vt:lpstr>
      <vt:lpstr>Accept1407</vt:lpstr>
      <vt:lpstr>Accept1408</vt:lpstr>
      <vt:lpstr>Accept1409</vt:lpstr>
      <vt:lpstr>Accept1410</vt:lpstr>
      <vt:lpstr>Accept1411</vt:lpstr>
      <vt:lpstr>Accept1412</vt:lpstr>
      <vt:lpstr>Accept1501</vt:lpstr>
      <vt:lpstr>Accept1502</vt:lpstr>
      <vt:lpstr>Accept1503</vt:lpstr>
      <vt:lpstr>Accept1504</vt:lpstr>
      <vt:lpstr>Accept1505</vt:lpstr>
      <vt:lpstr>Accept1506</vt:lpstr>
      <vt:lpstr>Accept1507</vt:lpstr>
      <vt:lpstr>Accept1508</vt:lpstr>
      <vt:lpstr>Accept1509</vt:lpstr>
      <vt:lpstr>Accept1510</vt:lpstr>
      <vt:lpstr>Accept1511</vt:lpstr>
      <vt:lpstr>Accept1512</vt:lpstr>
      <vt:lpstr>Accept1601</vt:lpstr>
      <vt:lpstr>Accept1602</vt:lpstr>
      <vt:lpstr>Accept1603</vt:lpstr>
      <vt:lpstr>Accept1604</vt:lpstr>
      <vt:lpstr>Accept1605</vt:lpstr>
      <vt:lpstr>Accept1606</vt:lpstr>
      <vt:lpstr>Accept1607</vt:lpstr>
      <vt:lpstr>Accept1608</vt:lpstr>
      <vt:lpstr>Accept1609</vt:lpstr>
      <vt:lpstr>Accept1610</vt:lpstr>
      <vt:lpstr>Accept1611</vt:lpstr>
      <vt:lpstr>Accept1612</vt:lpstr>
      <vt:lpstr>Accept1701</vt:lpstr>
      <vt:lpstr>Accept1702</vt:lpstr>
      <vt:lpstr>Accept1703</vt:lpstr>
      <vt:lpstr>Accept1704</vt:lpstr>
      <vt:lpstr>Accept1705</vt:lpstr>
      <vt:lpstr>Accept1706</vt:lpstr>
      <vt:lpstr>Accept1707</vt:lpstr>
      <vt:lpstr>Accept1708</vt:lpstr>
      <vt:lpstr>Accept1709</vt:lpstr>
      <vt:lpstr>Accept1710</vt:lpstr>
      <vt:lpstr>Accept1711</vt:lpstr>
      <vt:lpstr>Accept1712</vt:lpstr>
      <vt:lpstr>Accept1801</vt:lpstr>
      <vt:lpstr>Accept1802</vt:lpstr>
      <vt:lpstr>Sheet58</vt:lpstr>
      <vt:lpstr>Sheet59</vt:lpstr>
      <vt:lpstr>Sheet60</vt:lpstr>
      <vt:lpstr>Sheet61</vt:lpstr>
      <vt:lpstr>Sheet62</vt:lpstr>
      <vt:lpstr>Sheet63</vt:lpstr>
      <vt:lpstr>Sheet64</vt:lpstr>
      <vt:lpstr>Sheet65</vt:lpstr>
      <vt:lpstr>Sheet66</vt:lpstr>
      <vt:lpstr>Sheet67</vt:lpstr>
      <vt:lpstr>Sheet68</vt:lpstr>
      <vt:lpstr>Sheet69</vt:lpstr>
      <vt:lpstr>Sheet70</vt:lpstr>
      <vt:lpstr>Sheet1</vt:lpstr>
      <vt:lpstr>1906</vt:lpstr>
      <vt:lpstr>Sheet73</vt:lpstr>
      <vt:lpstr>Sheet74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2019-08-23T22:11:42Z</dcterms:modified>
</cp:coreProperties>
</file>